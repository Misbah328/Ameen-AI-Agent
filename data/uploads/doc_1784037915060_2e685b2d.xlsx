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ookup Lists" sheetId="2" state="visible" r:id="rId4"/>
    <sheet name="Deliverables Register" sheetId="3" state="visible" r:id="rId5"/>
    <sheet name="Steering Committee Meetings" sheetId="4" state="visible" r:id="rId6"/>
    <sheet name="Data" sheetId="5" state="hidden" r:id="rId7"/>
  </sheets>
  <definedNames>
    <definedName function="false" hidden="false" localSheetId="2" name="_xlnm.Print_Titles" vbProcedure="false">'Deliverables Register'!$2:$2</definedName>
    <definedName function="false" hidden="false" localSheetId="3" name="_xlnm.Print_Titles" vbProcedure="false">'Steering Committee Meetings'!$2:$2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<sst xmlns="http://schemas.openxmlformats.org/spreadsheetml/2006/main" count="377" uniqueCount="155">
  <si>
    <t xml:space="preserve">سجل متابعة مشروع الحوكمة</t>
  </si>
  <si>
    <t xml:space="preserve">اللجنة التوجيهية — شركة العطيشان القابضة</t>
  </si>
  <si>
    <t xml:space="preserve">تاريخ آخر تحديث</t>
  </si>
  <si>
    <t xml:space="preserve">تاريخ استخراج التقرير</t>
  </si>
  <si>
    <t xml:space="preserve">الجهة المسؤولة عن التحديث</t>
  </si>
  <si>
    <t xml:space="preserve">نسخة التقرير</t>
  </si>
  <si>
    <t xml:space="preserve">فريق الحوكمة</t>
  </si>
  <si>
    <t xml:space="preserve">V1.0</t>
  </si>
  <si>
    <t xml:space="preserve">المؤشرات الرئيسية</t>
  </si>
  <si>
    <t xml:space="preserve">إجمالي المخرجات</t>
  </si>
  <si>
    <t xml:space="preserve">المستلمة</t>
  </si>
  <si>
    <t xml:space="preserve">تحت المراجعة</t>
  </si>
  <si>
    <t xml:space="preserve">لدى الحلول القانونية</t>
  </si>
  <si>
    <t xml:space="preserve">لدى لجنة الحوكمة</t>
  </si>
  <si>
    <t xml:space="preserve">لدى لجنة الترشيحات</t>
  </si>
  <si>
    <t xml:space="preserve">جاهزة للاعتماد</t>
  </si>
  <si>
    <t xml:space="preserve">المعتمدة</t>
  </si>
  <si>
    <t xml:space="preserve">المتأخرة</t>
  </si>
  <si>
    <t xml:space="preserve">الحرجة</t>
  </si>
  <si>
    <t xml:space="preserve">متوسط أيام المراجعة</t>
  </si>
  <si>
    <t xml:space="preserve">نسبة الإنجاز الكلية</t>
  </si>
  <si>
    <t xml:space="preserve">ملخص اللجنة التوجيهية</t>
  </si>
  <si>
    <t xml:space="preserve">المخرجات المتأخرة</t>
  </si>
  <si>
    <t xml:space="preserve">المخرجات الحرجة</t>
  </si>
  <si>
    <t xml:space="preserve">القرارات المفتوحة</t>
  </si>
  <si>
    <t xml:space="preserve">الإجراءات المستحقة خلال أسبوعين</t>
  </si>
  <si>
    <t xml:space="preserve">لوحة التحكم التفاعلية — اختر البيانات التي تريد عرضها في الرسم الرئيسي</t>
  </si>
  <si>
    <t xml:space="preserve">اعرض التوزيع حسب:</t>
  </si>
  <si>
    <t xml:space="preserve">الحالة</t>
  </si>
  <si>
    <t xml:space="preserve">تصفية بالتصنيف:</t>
  </si>
  <si>
    <t xml:space="preserve">الكل</t>
  </si>
  <si>
    <t xml:space="preserve">تصفية بالأولوية:</t>
  </si>
  <si>
    <t xml:space="preserve">عند تغيير أي خيار أعلاه يُعاد تشكيل (الرسم الرئيسي التفاعلي) تلقائياً.</t>
  </si>
  <si>
    <t xml:space="preserve">الرسوم البيانية</t>
  </si>
  <si>
    <t xml:space="preserve">المرجع الرسمي للجنة التوجيهية حتى الإقفال النهائي لمشروع الحوكمة المستهدف بتاريخ 2026-08-15</t>
  </si>
  <si>
    <t xml:space="preserve">إشراف رئيس اللجنة التوجيهية:  محمد البوعلي</t>
  </si>
  <si>
    <t xml:space="preserve">إعداد: شركة أمين للذكاء الاصطناعي   —   مقدَّم إلى: شركة العطيشان القابضة</t>
  </si>
  <si>
    <t xml:space="preserve">القوائم المرجعية</t>
  </si>
  <si>
    <t xml:space="preserve">تُستخدم هذه القوائم تلقائياً في جميع القوائم المنسدلة داخل الملف — يمكن التعديل عليها بالإضافة أو الحذف.</t>
  </si>
  <si>
    <t xml:space="preserve">قوائم التحكم بالرسم البياني التفاعلي في لوحة المؤشرات.</t>
  </si>
  <si>
    <t xml:space="preserve">الحالات</t>
  </si>
  <si>
    <t xml:space="preserve">الأولويات</t>
  </si>
  <si>
    <t xml:space="preserve">الجهات</t>
  </si>
  <si>
    <t xml:space="preserve">التصنيفات</t>
  </si>
  <si>
    <t xml:space="preserve">حالات القرارات</t>
  </si>
  <si>
    <t xml:space="preserve">محاور الرسم</t>
  </si>
  <si>
    <t xml:space="preserve">تصفية التصنيف</t>
  </si>
  <si>
    <t xml:space="preserve">تصفية الأولوية</t>
  </si>
  <si>
    <t xml:space="preserve">الالتزام (مرجع)</t>
  </si>
  <si>
    <t xml:space="preserve">النطاق</t>
  </si>
  <si>
    <t xml:space="preserve">مستلم</t>
  </si>
  <si>
    <t xml:space="preserve">عالية</t>
  </si>
  <si>
    <t xml:space="preserve">الملاك</t>
  </si>
  <si>
    <t xml:space="preserve">حوكمة</t>
  </si>
  <si>
    <t xml:space="preserve">مفتوح</t>
  </si>
  <si>
    <t xml:space="preserve">متأخر</t>
  </si>
  <si>
    <t xml:space="preserve">ضمن النطاق</t>
  </si>
  <si>
    <t xml:space="preserve">مراجعة المختصين</t>
  </si>
  <si>
    <t xml:space="preserve">متوسطة</t>
  </si>
  <si>
    <t xml:space="preserve">مجلس الإدارة</t>
  </si>
  <si>
    <t xml:space="preserve">القابضة</t>
  </si>
  <si>
    <t xml:space="preserve">مغلق</t>
  </si>
  <si>
    <t xml:space="preserve">الأولوية</t>
  </si>
  <si>
    <t xml:space="preserve">ضمن الخطة</t>
  </si>
  <si>
    <t xml:space="preserve">خارج النطاق</t>
  </si>
  <si>
    <t xml:space="preserve">التعديل لدى الحلول القانونية</t>
  </si>
  <si>
    <t xml:space="preserve">منخفضة</t>
  </si>
  <si>
    <t xml:space="preserve">لجنة المراجعة</t>
  </si>
  <si>
    <t xml:space="preserve">تشغيلي</t>
  </si>
  <si>
    <t xml:space="preserve">التصنيف</t>
  </si>
  <si>
    <t xml:space="preserve">مكتمل</t>
  </si>
  <si>
    <t xml:space="preserve">مراجعة لجنة الحوكمة</t>
  </si>
  <si>
    <t xml:space="preserve">لجنة الترشيحات والمكافآت</t>
  </si>
  <si>
    <t xml:space="preserve">تنظيمي</t>
  </si>
  <si>
    <t xml:space="preserve">مراجعة لجنة الترشيحات والمكافآت</t>
  </si>
  <si>
    <t xml:space="preserve">الرئيس التنفيذي</t>
  </si>
  <si>
    <t xml:space="preserve">الالتزام الزمني</t>
  </si>
  <si>
    <t xml:space="preserve">اعتماد مجلس الإدارة</t>
  </si>
  <si>
    <t xml:space="preserve">الإدارة التنفيذية</t>
  </si>
  <si>
    <t xml:space="preserve">معتمد ونافذ</t>
  </si>
  <si>
    <t xml:space="preserve">عامر البيروتي</t>
  </si>
  <si>
    <t xml:space="preserve">أمين المجلس</t>
  </si>
  <si>
    <t xml:space="preserve">الموارد البشرية</t>
  </si>
  <si>
    <t xml:space="preserve">الإدارة المالية</t>
  </si>
  <si>
    <t xml:space="preserve">تقنية المعلومات</t>
  </si>
  <si>
    <t xml:space="preserve">الشؤون القانونية</t>
  </si>
  <si>
    <t xml:space="preserve">الإدارة التجارية</t>
  </si>
  <si>
    <t xml:space="preserve">العمليات والتشغيل</t>
  </si>
  <si>
    <t xml:space="preserve">المشتريات والمستودعات</t>
  </si>
  <si>
    <t xml:space="preserve">الحلول القانونية</t>
  </si>
  <si>
    <t xml:space="preserve">سجل متابعة مخرجات مشروع الحوكمة — شركة العطيشان القابضة</t>
  </si>
  <si>
    <t xml:space="preserve">رقم</t>
  </si>
  <si>
    <t xml:space="preserve">المخرج</t>
  </si>
  <si>
    <t xml:space="preserve">المختص / الجهة المراجعة</t>
  </si>
  <si>
    <t xml:space="preserve">تاريخ استلام المخرج</t>
  </si>
  <si>
    <t xml:space="preserve">عدد المراجعات</t>
  </si>
  <si>
    <t xml:space="preserve">تاريخ الإرسال للمختص</t>
  </si>
  <si>
    <t xml:space="preserve">أيام المراجعة</t>
  </si>
  <si>
    <t xml:space="preserve">الحالة الحالية</t>
  </si>
  <si>
    <t xml:space="preserve">المسؤول الحالي</t>
  </si>
  <si>
    <t xml:space="preserve">تاريخ الإغلاق المستهدف</t>
  </si>
  <si>
    <t xml:space="preserve">آخر جهة قامت بالتحديث</t>
  </si>
  <si>
    <t xml:space="preserve">الملاحظات</t>
  </si>
  <si>
    <t xml:space="preserve">مؤشر الالتزام الزمني</t>
  </si>
  <si>
    <t xml:space="preserve">لائحة الجمعية العمومية</t>
  </si>
  <si>
    <t xml:space="preserve">لائحة مجلس الإدارة</t>
  </si>
  <si>
    <t xml:space="preserve">بانتظار جلسة المجلس القادمة</t>
  </si>
  <si>
    <t xml:space="preserve">لائحة لجنة المراجعة</t>
  </si>
  <si>
    <t xml:space="preserve">لائحة لجنة الترشيحات والمكافآت</t>
  </si>
  <si>
    <t xml:space="preserve">تمت موافاتهم بالنسخة المحدثة</t>
  </si>
  <si>
    <t xml:space="preserve">لائحة لجنة الاستثمار</t>
  </si>
  <si>
    <t xml:space="preserve">لائحة اللجنة التنفيذية</t>
  </si>
  <si>
    <t xml:space="preserve">لائحة الرئيس التنفيذي</t>
  </si>
  <si>
    <t xml:space="preserve">بانتظار بدء المراجعة</t>
  </si>
  <si>
    <t xml:space="preserve">استمارة قياس القدرة المؤسسية</t>
  </si>
  <si>
    <t xml:space="preserve">مصفوفة الصلاحيات الشاملة</t>
  </si>
  <si>
    <t xml:space="preserve">تجاوزت الموعد المستهدف</t>
  </si>
  <si>
    <t xml:space="preserve">سياسة الإفصاح والشفافية</t>
  </si>
  <si>
    <t xml:space="preserve">سياسة تعارض المصالح</t>
  </si>
  <si>
    <t xml:space="preserve">سياسة إدارة المخاطر</t>
  </si>
  <si>
    <t xml:space="preserve">سياسة مكافحة الغش والاحتيال</t>
  </si>
  <si>
    <t xml:space="preserve">سياسة الالتزام والامتثال</t>
  </si>
  <si>
    <t xml:space="preserve">سياسة الاستثمار والشركات التابعة</t>
  </si>
  <si>
    <t xml:space="preserve">متابعة الأداء التشغيلي للشركات التابعة</t>
  </si>
  <si>
    <t xml:space="preserve">تطوير الاستراتيجية الشاملة للمجموعة</t>
  </si>
  <si>
    <t xml:space="preserve">مخرج محوري</t>
  </si>
  <si>
    <t xml:space="preserve">سياسة الإبلاغ عن المخالفات</t>
  </si>
  <si>
    <t xml:space="preserve">سياسة البيانات والخصوصية</t>
  </si>
  <si>
    <t xml:space="preserve">مصفوفة الصلاحيات الاستثمارية</t>
  </si>
  <si>
    <t xml:space="preserve">مصفوفة صلاحيات الشركات التابعة</t>
  </si>
  <si>
    <t xml:space="preserve">مؤشرات الأداء الاستراتيجية</t>
  </si>
  <si>
    <t xml:space="preserve">محاضر وقرارات اللجنة التوجيهية — شركة العطيشان القابضة</t>
  </si>
  <si>
    <t xml:space="preserve">رقم الاجتماع</t>
  </si>
  <si>
    <t xml:space="preserve">تاريخ الاجتماع</t>
  </si>
  <si>
    <t xml:space="preserve">عدد الحضور</t>
  </si>
  <si>
    <t xml:space="preserve">عدد الغياب</t>
  </si>
  <si>
    <t xml:space="preserve">أهم القرارات</t>
  </si>
  <si>
    <t xml:space="preserve">الإجراءات المطلوبة</t>
  </si>
  <si>
    <t xml:space="preserve">المسؤول</t>
  </si>
  <si>
    <t xml:space="preserve">تاريخ الاستحقاق</t>
  </si>
  <si>
    <t xml:space="preserve">اعتماد خطة مشروع الحوكمة والجدول الزمني</t>
  </si>
  <si>
    <t xml:space="preserve">رفع مسودة اللوائح الأساسية</t>
  </si>
  <si>
    <t xml:space="preserve">إقرار منهجية المراجعة عبر الحلول القانونية</t>
  </si>
  <si>
    <t xml:space="preserve">تسليم سياسات الالتزام والمخاطر</t>
  </si>
  <si>
    <t xml:space="preserve">مراجعة حالة المخرجات المتأخرة</t>
  </si>
  <si>
    <t xml:space="preserve">تسريع اعتماد مصفوفة الصلاحيات الشاملة</t>
  </si>
  <si>
    <t xml:space="preserve">الموافقة على رفع لوائح اللجان للمجلس</t>
  </si>
  <si>
    <t xml:space="preserve">جدولة جلسة اعتماد لائحة مجلس الإدارة</t>
  </si>
  <si>
    <t xml:space="preserve">العدد</t>
  </si>
  <si>
    <t xml:space="preserve">الجهة</t>
  </si>
  <si>
    <t xml:space="preserve">الإنجاز</t>
  </si>
  <si>
    <t xml:space="preserve">قرارات مفتوحة</t>
  </si>
  <si>
    <t xml:space="preserve">إجراءات مستحقة</t>
  </si>
  <si>
    <t xml:space="preserve">الفئة</t>
  </si>
  <si>
    <t xml:space="preserve">قيد العمل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</si>
</sst>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%"/>
    <numFmt numFmtId="168" formatCode="yyyy\-mm\-dd"/>
    <numFmt numFmtId="169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3"/>
      <color rgb="FFEADFC2"/>
      <name val="Arial"/>
      <family val="0"/>
      <charset val="1"/>
    </font>
    <font>
      <b val="true"/>
      <sz val="9"/>
      <color rgb="FF14463C"/>
      <name val="Arial"/>
      <family val="0"/>
      <charset val="1"/>
    </font>
    <font>
      <b val="true"/>
      <sz val="11"/>
      <color rgb="FF1C2B27"/>
      <name val="Arial"/>
      <family val="0"/>
      <charset val="1"/>
    </font>
    <font>
      <b val="true"/>
      <sz val="13"/>
      <color rgb="FF14463C"/>
      <name val="Arial"/>
      <family val="0"/>
      <charset val="1"/>
    </font>
    <font>
      <b val="true"/>
      <sz val="20"/>
      <color rgb="FF14463C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20"/>
      <color rgb="FF7A5C00"/>
      <name val="Arial"/>
      <family val="0"/>
      <charset val="1"/>
    </font>
    <font>
      <b val="true"/>
      <sz val="20"/>
      <color rgb="FF8A4B00"/>
      <name val="Arial"/>
      <family val="0"/>
      <charset val="1"/>
    </font>
    <font>
      <b val="true"/>
      <sz val="9"/>
      <color rgb="FF6B7671"/>
      <name val="Arial"/>
      <family val="0"/>
      <charset val="1"/>
    </font>
    <font>
      <b val="true"/>
      <sz val="20"/>
      <color rgb="FF5B2E86"/>
      <name val="Arial"/>
      <family val="0"/>
      <charset val="1"/>
    </font>
    <font>
      <b val="true"/>
      <sz val="20"/>
      <color rgb="FF105D72"/>
      <name val="Arial"/>
      <family val="0"/>
      <charset val="1"/>
    </font>
    <font>
      <b val="true"/>
      <sz val="20"/>
      <color rgb="FF2E6B2A"/>
      <name val="Arial"/>
      <family val="0"/>
      <charset val="1"/>
    </font>
    <font>
      <b val="true"/>
      <sz val="20"/>
      <color rgb="FF194A16"/>
      <name val="Arial"/>
      <family val="0"/>
      <charset val="1"/>
    </font>
    <font>
      <b val="true"/>
      <sz val="20"/>
      <color rgb="FF8A1C1C"/>
      <name val="Arial"/>
      <family val="0"/>
      <charset val="1"/>
    </font>
    <font>
      <b val="true"/>
      <sz val="20"/>
      <color rgb="FFB88A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2B27"/>
      <name val="Arial"/>
      <family val="0"/>
      <charset val="1"/>
    </font>
    <font>
      <b val="true"/>
      <sz val="12"/>
      <color rgb="FF14463C"/>
      <name val="Arial"/>
      <family val="0"/>
      <charset val="1"/>
    </font>
    <font>
      <b val="true"/>
      <sz val="10"/>
      <color rgb="FF14463C"/>
      <name val="Arial"/>
      <family val="0"/>
      <charset val="1"/>
    </font>
    <font>
      <b val="true"/>
      <sz val="11"/>
      <color rgb="FFB88A2A"/>
      <name val="Arial"/>
      <family val="0"/>
      <charset val="1"/>
    </font>
    <font>
      <sz val="9"/>
      <color rgb="FF6B7671"/>
      <name val="Arial"/>
      <family val="0"/>
      <charset val="1"/>
    </font>
    <font>
      <b val="true"/>
      <sz val="12"/>
      <color rgb="FFB88A2A"/>
      <name val="Arial"/>
      <family val="0"/>
      <charset val="1"/>
    </font>
    <font>
      <b val="true"/>
      <sz val="11"/>
      <color rgb="FF14463C"/>
      <name val="Arial"/>
      <family val="0"/>
      <charset val="1"/>
    </font>
    <font>
      <sz val="10"/>
      <color rgb="FF000000"/>
      <name val="Calibri"/>
      <family val="2"/>
    </font>
    <font>
      <b val="true"/>
      <sz val="18"/>
      <color rgb="FF000000"/>
      <name val="FreeSans"/>
      <family val="2"/>
    </font>
    <font>
      <b val="true"/>
      <sz val="16"/>
      <color rgb="FF14463C"/>
      <name val="Arial"/>
      <family val="0"/>
      <charset val="1"/>
    </font>
    <font>
      <sz val="10"/>
      <color rgb="FF6B767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BFAF6"/>
        <bgColor rgb="FFF7F5EE"/>
      </patternFill>
    </fill>
    <fill>
      <patternFill patternType="solid">
        <fgColor rgb="FF14463C"/>
        <bgColor rgb="FF194A16"/>
      </patternFill>
    </fill>
    <fill>
      <patternFill patternType="solid">
        <fgColor rgb="FFEADFC2"/>
        <bgColor rgb="FFFBD9B0"/>
      </patternFill>
    </fill>
    <fill>
      <patternFill patternType="solid">
        <fgColor rgb="FFFFFFFF"/>
        <bgColor rgb="FFFBFAF6"/>
      </patternFill>
    </fill>
    <fill>
      <patternFill patternType="solid">
        <fgColor rgb="FF8A1C1C"/>
        <bgColor rgb="FF800000"/>
      </patternFill>
    </fill>
    <fill>
      <patternFill patternType="solid">
        <fgColor rgb="FF8A4B00"/>
        <bgColor rgb="FF7A5C00"/>
      </patternFill>
    </fill>
    <fill>
      <patternFill patternType="solid">
        <fgColor rgb="FF5B2E86"/>
        <bgColor rgb="FF993366"/>
      </patternFill>
    </fill>
    <fill>
      <patternFill patternType="solid">
        <fgColor rgb="FF1F4E79"/>
        <bgColor rgb="FF105D72"/>
      </patternFill>
    </fill>
    <fill>
      <patternFill patternType="solid">
        <fgColor rgb="FFB88A2A"/>
        <bgColor rgb="FF878787"/>
      </patternFill>
    </fill>
    <fill>
      <patternFill patternType="solid">
        <fgColor rgb="FFF4F1E8"/>
        <bgColor rgb="FFF7F5EE"/>
      </patternFill>
    </fill>
    <fill>
      <patternFill patternType="solid">
        <fgColor rgb="FF1E5C4E"/>
        <bgColor rgb="FF105D72"/>
      </patternFill>
    </fill>
    <fill>
      <patternFill patternType="solid">
        <fgColor rgb="FFF7F5EE"/>
        <bgColor rgb="FFF4F1E8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D8D2C2"/>
      </left>
      <right style="thin">
        <color rgb="FFD8D2C2"/>
      </right>
      <top style="thin">
        <color rgb="FFD8D2C2"/>
      </top>
      <bottom style="thin">
        <color rgb="FFD8D2C2"/>
      </bottom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14463C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1F4E79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7A5C00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8A4B00"/>
      </top>
      <bottom/>
      <diagonal/>
    </border>
    <border diagonalUp="false" diagonalDown="false">
      <left style="thin">
        <color rgb="FFD8D2C2"/>
      </left>
      <right style="thin">
        <color rgb="FFD8D2C2"/>
      </right>
      <top/>
      <bottom style="thin">
        <color rgb="FFD8D2C2"/>
      </bottom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5B2E86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105D72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2E6B2A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194A16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8A1C1C"/>
      </top>
      <bottom/>
      <diagonal/>
    </border>
    <border diagonalUp="false" diagonalDown="false">
      <left style="thin">
        <color rgb="FFD8D2C2"/>
      </left>
      <right style="thin">
        <color rgb="FFD8D2C2"/>
      </right>
      <top style="medium">
        <color rgb="FFB88A2A"/>
      </top>
      <bottom/>
      <diagonal/>
    </border>
    <border diagonalUp="false" diagonalDown="false">
      <left style="medium">
        <color rgb="FFB88A2A"/>
      </left>
      <right style="medium">
        <color rgb="FFB88A2A"/>
      </right>
      <top style="medium">
        <color rgb="FFB88A2A"/>
      </top>
      <bottom style="medium">
        <color rgb="FFB88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1" fillId="5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2" fillId="5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4" fillId="5" borderId="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5" fillId="5" borderId="8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6" fillId="5" borderId="9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7" fillId="5" borderId="1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8" fillId="5" borderId="1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9" fillId="5" borderId="1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1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0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0" fillId="8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0" fillId="9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2" fillId="4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3" fillId="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4" fillId="5" borderId="13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4" fontId="25" fillId="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0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1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1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1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1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1" fillId="1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21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21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1E5C4E"/>
          <bgColor rgb="FF000000"/>
        </patternFill>
      </fill>
    </dxf>
    <dxf>
      <fill>
        <patternFill patternType="solid">
          <fgColor rgb="FFF7F5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C2B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3B3"/>
          <bgColor rgb="FF000000"/>
        </patternFill>
      </fill>
    </dxf>
    <dxf>
      <fill>
        <patternFill patternType="solid">
          <fgColor rgb="FF8A1C1C"/>
          <bgColor rgb="FF000000"/>
        </patternFill>
      </fill>
    </dxf>
    <dxf>
      <fill>
        <patternFill patternType="solid">
          <fgColor rgb="FF8FCB8B"/>
          <bgColor rgb="FF000000"/>
        </patternFill>
      </fill>
    </dxf>
    <dxf>
      <fill>
        <patternFill patternType="solid">
          <fgColor rgb="FFCDEAF2"/>
          <bgColor rgb="FF000000"/>
        </patternFill>
      </fill>
    </dxf>
    <dxf>
      <fill>
        <patternFill patternType="solid">
          <fgColor rgb="FFCDEBC6"/>
          <bgColor rgb="FF000000"/>
        </patternFill>
      </fill>
    </dxf>
    <dxf>
      <fill>
        <patternFill patternType="solid">
          <fgColor rgb="FFDCE9F7"/>
          <bgColor rgb="FF000000"/>
        </patternFill>
      </fill>
    </dxf>
    <dxf>
      <fill>
        <patternFill patternType="solid">
          <fgColor rgb="FFE2D2F0"/>
          <bgColor rgb="FF000000"/>
        </patternFill>
      </fill>
    </dxf>
    <dxf>
      <fill>
        <patternFill patternType="solid">
          <fgColor rgb="FFFBD9B0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105D72"/>
          <bgColor rgb="FF000000"/>
        </patternFill>
      </fill>
    </dxf>
    <dxf>
      <fill>
        <patternFill patternType="solid">
          <fgColor rgb="FF194A16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6B2A"/>
          <bgColor rgb="FF000000"/>
        </patternFill>
      </fill>
    </dxf>
    <dxf>
      <fill>
        <patternFill patternType="solid">
          <fgColor rgb="FF5B2E86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ill>
        <patternFill patternType="solid">
          <fgColor rgb="FFFFE08A"/>
          <bgColor rgb="FF000000"/>
        </patternFill>
      </fill>
    </dxf>
    <dxf>
      <fill>
        <patternFill patternType="solid">
          <fgColor rgb="FFE7EFE9"/>
          <bgColor rgb="FF000000"/>
        </patternFill>
      </fill>
    </dxf>
    <dxf>
      <font>
        <name val="Arial"/>
        <charset val="1"/>
        <family val="0"/>
        <b val="1"/>
        <color rgb="FF1F4E79"/>
        <sz val="10"/>
      </font>
      <fill>
        <patternFill>
          <bgColor rgb="FFDCE9F7"/>
        </patternFill>
      </fill>
    </dxf>
    <dxf>
      <font>
        <name val="Arial"/>
        <charset val="1"/>
        <family val="0"/>
        <b val="1"/>
        <color rgb="FF7A5C00"/>
        <sz val="10"/>
      </font>
      <fill>
        <patternFill>
          <bgColor rgb="FFFFF3C4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BD9B0"/>
        </patternFill>
      </fill>
    </dxf>
    <dxf>
      <font>
        <name val="Arial"/>
        <charset val="1"/>
        <family val="0"/>
        <b val="1"/>
        <color rgb="FF5B2E86"/>
        <sz val="10"/>
      </font>
      <fill>
        <patternFill>
          <bgColor rgb="FFE2D2F0"/>
        </patternFill>
      </fill>
    </dxf>
    <dxf>
      <font>
        <name val="Arial"/>
        <charset val="1"/>
        <family val="0"/>
        <b val="1"/>
        <color rgb="FF105D72"/>
        <sz val="10"/>
      </font>
      <fill>
        <patternFill>
          <bgColor rgb="FFCDEAF2"/>
        </patternFill>
      </fill>
    </dxf>
    <dxf>
      <font>
        <name val="Arial"/>
        <charset val="1"/>
        <family val="0"/>
        <b val="1"/>
        <color rgb="FF2E6B2A"/>
        <sz val="10"/>
      </font>
      <fill>
        <patternFill>
          <bgColor rgb="FFCDEBC6"/>
        </patternFill>
      </fill>
    </dxf>
    <dxf>
      <font>
        <name val="Arial"/>
        <charset val="1"/>
        <family val="0"/>
        <b val="1"/>
        <color rgb="FF194A16"/>
        <sz val="10"/>
      </font>
      <fill>
        <patternFill>
          <bgColor rgb="FF8FCB8B"/>
        </patternFill>
      </fill>
    </dxf>
    <dxf>
      <font>
        <name val="Arial"/>
        <charset val="1"/>
        <family val="0"/>
        <b val="1"/>
        <color rgb="FF8A1C1C"/>
        <sz val="10"/>
      </font>
      <fill>
        <patternFill>
          <bgColor rgb="FFF4B3B3"/>
        </patternFill>
      </fill>
    </dxf>
    <dxf>
      <font>
        <name val="Arial"/>
        <charset val="1"/>
        <family val="0"/>
        <b val="1"/>
        <color rgb="FF7A5C00"/>
        <sz val="10"/>
      </font>
      <fill>
        <patternFill>
          <bgColor rgb="FFFFE08A"/>
        </patternFill>
      </fill>
    </dxf>
    <dxf>
      <font>
        <name val="Arial"/>
        <charset val="1"/>
        <family val="0"/>
        <color rgb="FF2E6B2A"/>
        <sz val="10"/>
      </font>
      <fill>
        <patternFill>
          <bgColor rgb="FFE7EFE9"/>
        </patternFill>
      </fill>
    </dxf>
    <dxf>
      <font>
        <name val="Arial"/>
        <charset val="1"/>
        <family val="0"/>
        <color rgb="FF2E6B2A"/>
        <sz val="10"/>
      </font>
      <fill>
        <patternFill>
          <bgColor rgb="FFCDEBC6"/>
        </patternFill>
      </fill>
    </dxf>
    <dxf>
      <font>
        <name val="Arial"/>
        <charset val="1"/>
        <family val="0"/>
        <color rgb="FF7A5C00"/>
        <sz val="10"/>
      </font>
      <fill>
        <patternFill>
          <bgColor rgb="FFFFE0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1E8"/>
      <rgbColor rgb="FFFF00FF"/>
      <rgbColor rgb="FF00FFFF"/>
      <rgbColor rgb="FF8A1C1C"/>
      <rgbColor rgb="FF2E6B2A"/>
      <rgbColor rgb="FF000080"/>
      <rgbColor rgb="FF7A5C00"/>
      <rgbColor rgb="FF800080"/>
      <rgbColor rgb="FF105D72"/>
      <rgbColor rgb="FFD8D2C2"/>
      <rgbColor rgb="FF878787"/>
      <rgbColor rgb="FFE7EFE9"/>
      <rgbColor rgb="FF993366"/>
      <rgbColor rgb="FFFFF3C4"/>
      <rgbColor rgb="FFCDEAF2"/>
      <rgbColor rgb="FF660066"/>
      <rgbColor rgb="FFFF8080"/>
      <rgbColor rgb="FF1F4E79"/>
      <rgbColor rgb="FFE2D2F0"/>
      <rgbColor rgb="FF000080"/>
      <rgbColor rgb="FFFF00FF"/>
      <rgbColor rgb="FFF7F5EE"/>
      <rgbColor rgb="FF00FFFF"/>
      <rgbColor rgb="FF800080"/>
      <rgbColor rgb="FF800000"/>
      <rgbColor rgb="FF1E5C4E"/>
      <rgbColor rgb="FF0000FF"/>
      <rgbColor rgb="FF00CCFF"/>
      <rgbColor rgb="FFDCE9F7"/>
      <rgbColor rgb="FFCDEBC6"/>
      <rgbColor rgb="FFFFE08A"/>
      <rgbColor rgb="FFD9D9D9"/>
      <rgbColor rgb="FFF4B3B3"/>
      <rgbColor rgb="FFEADFC2"/>
      <rgbColor rgb="FFFBD9B0"/>
      <rgbColor rgb="FF4F81BD"/>
      <rgbColor rgb="FF33CCCC"/>
      <rgbColor rgb="FF99CC00"/>
      <rgbColor rgb="FFFBFAF6"/>
      <rgbColor rgb="FFB88A2A"/>
      <rgbColor rgb="FFFF6600"/>
      <rgbColor rgb="FF6B7671"/>
      <rgbColor rgb="FF8FCB8B"/>
      <rgbColor rgb="FF14463C"/>
      <rgbColor rgb="FF339966"/>
      <rgbColor rgb="FF194A16"/>
      <rgbColor rgb="FF333300"/>
      <rgbColor rgb="FF8A4B00"/>
      <rgbColor rgb="FF993366"/>
      <rgbColor rgb="FF5B2E86"/>
      <rgbColor rgb="FF1C2B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Data!AC1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4463c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88a2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a4b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5b2e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05d72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2e6b2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Data!$AB$2:$AB$8</c:f>
              <c:strCache>
                <c:ptCount val="7"/>
                <c:pt idx="0">
                  <c:v>مستلم</c:v>
                </c:pt>
                <c:pt idx="1">
                  <c:v>مراجعة المختصين</c:v>
                </c:pt>
                <c:pt idx="2">
                  <c:v>التعديل لدى الحلول القانونية</c:v>
                </c:pt>
                <c:pt idx="3">
                  <c:v>مراجعة لجنة الحوكمة</c:v>
                </c:pt>
                <c:pt idx="4">
                  <c:v>مراجعة لجنة الترشيحات والمكافآت</c:v>
                </c:pt>
                <c:pt idx="5">
                  <c:v>اعتماد مجلس الإدارة</c:v>
                </c:pt>
                <c:pt idx="6">
                  <c:v>معتمد ونافذ</c:v>
                </c:pt>
              </c:strCache>
            </c:strRef>
          </c:cat>
          <c:val>
            <c:numRef>
              <c:f>Data!$AC$2:$AC$8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31977798"/>
        <c:axId val="11539369"/>
      </c:barChart>
      <c:catAx>
        <c:axId val="31977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39369"/>
        <c:crosses val="autoZero"/>
        <c:auto val="1"/>
        <c:lblAlgn val="ctr"/>
        <c:lblOffset val="100"/>
        <c:noMultiLvlLbl val="0"/>
      </c:catAx>
      <c:valAx>
        <c:axId val="11539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77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التوزيع حسب الجهة المراجعة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Data!E1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4463c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88a2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a4b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5b2e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05d72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2e6b2a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8a1c1c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6b7671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debc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14463c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b88a2a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8a4b00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5b2e86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105d72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2e6b2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Data!$D$2:$D$18</c:f>
              <c:strCache>
                <c:ptCount val="17"/>
                <c:pt idx="0">
                  <c:v>الملاك</c:v>
                </c:pt>
                <c:pt idx="1">
                  <c:v>مجلس الإدارة</c:v>
                </c:pt>
                <c:pt idx="2">
                  <c:v>لجنة المراجعة</c:v>
                </c:pt>
                <c:pt idx="3">
                  <c:v>لجنة الترشيحات والمكافآت</c:v>
                </c:pt>
                <c:pt idx="4">
                  <c:v>الرئيس التنفيذي</c:v>
                </c:pt>
                <c:pt idx="5">
                  <c:v>الإدارة التنفيذية</c:v>
                </c:pt>
                <c:pt idx="6">
                  <c:v>عامر البيروتي</c:v>
                </c:pt>
                <c:pt idx="7">
                  <c:v>أمين المجلس</c:v>
                </c:pt>
                <c:pt idx="8">
                  <c:v>الموارد البشرية</c:v>
                </c:pt>
                <c:pt idx="9">
                  <c:v>الإدارة المالية</c:v>
                </c:pt>
                <c:pt idx="10">
                  <c:v>تقنية المعلومات</c:v>
                </c:pt>
                <c:pt idx="11">
                  <c:v>الشؤون القانونية</c:v>
                </c:pt>
                <c:pt idx="12">
                  <c:v>الإدارة التجارية</c:v>
                </c:pt>
                <c:pt idx="13">
                  <c:v>العمليات والتشغيل</c:v>
                </c:pt>
                <c:pt idx="14">
                  <c:v>المشتريات والمستودعات</c:v>
                </c:pt>
                <c:pt idx="15">
                  <c:v>الحلول القانونية</c:v>
                </c:pt>
                <c:pt idx="16">
                  <c:v>فريق الحوكمة</c:v>
                </c:pt>
              </c:strCache>
            </c:strRef>
          </c:cat>
          <c:val>
            <c:numRef>
              <c:f>Data!$E$2:$E$18</c:f>
              <c:numCache>
                <c:formatCode>General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</c:ser>
        <c:gapWidth val="150"/>
        <c:overlap val="0"/>
        <c:axId val="48599184"/>
        <c:axId val="64393386"/>
      </c:barChart>
      <c:catAx>
        <c:axId val="485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93386"/>
        <c:crosses val="autoZero"/>
        <c:auto val="1"/>
        <c:lblAlgn val="ctr"/>
        <c:lblOffset val="100"/>
        <c:noMultiLvlLbl val="0"/>
      </c:catAx>
      <c:valAx>
        <c:axId val="64393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99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نسبة الإنجاز الكلية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Data!N1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94a1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7efe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Data!$M$2:$M$3</c:f>
              <c:strCache>
                <c:ptCount val="2"/>
                <c:pt idx="0">
                  <c:v>معتمد ونافذ</c:v>
                </c:pt>
                <c:pt idx="1">
                  <c:v>قيد العمل</c:v>
                </c:pt>
              </c:strCache>
            </c:strRef>
          </c:cat>
          <c:val>
            <c:numRef>
              <c:f>Data!$N$2:$N$3</c:f>
              <c:numCache>
                <c:formatCode>General</c:formatCode>
                <c:ptCount val="2"/>
                <c:pt idx="0">
                  <c:v>1</c:v>
                </c:pt>
                <c:pt idx="1">
                  <c:v>21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المخرجات حسب الأولوية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Data!H1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8a1c1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88a2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e6b2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Data!$G$2:$G$4</c:f>
              <c:strCache>
                <c:ptCount val="3"/>
                <c:pt idx="0">
                  <c:v>عالية</c:v>
                </c:pt>
                <c:pt idx="1">
                  <c:v>متوسطة</c:v>
                </c:pt>
                <c:pt idx="2">
                  <c:v>منخفضة</c:v>
                </c:pt>
              </c:strCache>
            </c:strRef>
          </c:cat>
          <c:val>
            <c:numRef>
              <c:f>Data!$H$2:$H$4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الالتزام الزمني للمخرجات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Data!K1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a1c1c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6b2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94a1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Data!$J$2:$J$4</c:f>
              <c:strCache>
                <c:ptCount val="3"/>
                <c:pt idx="0">
                  <c:v>متأخر</c:v>
                </c:pt>
                <c:pt idx="1">
                  <c:v>ضمن الخطة</c:v>
                </c:pt>
                <c:pt idx="2">
                  <c:v>مكتمل</c:v>
                </c:pt>
              </c:strCache>
            </c:strRef>
          </c:cat>
          <c:val>
            <c:numRef>
              <c:f>Data!$K$2:$K$4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46729118"/>
        <c:axId val="51241112"/>
      </c:barChart>
      <c:catAx>
        <c:axId val="46729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41112"/>
        <c:crosses val="autoZero"/>
        <c:auto val="1"/>
        <c:lblAlgn val="ctr"/>
        <c:lblOffset val="100"/>
        <c:noMultiLvlLbl val="0"/>
      </c:catAx>
      <c:valAx>
        <c:axId val="51241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291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-148680</xdr:colOff>
      <xdr:row>27</xdr:row>
      <xdr:rowOff>232560</xdr:rowOff>
    </xdr:from>
    <xdr:to>
      <xdr:col>10</xdr:col>
      <xdr:colOff>0</xdr:colOff>
      <xdr:row>46</xdr:row>
      <xdr:rowOff>126720</xdr:rowOff>
    </xdr:to>
    <xdr:graphicFrame>
      <xdr:nvGraphicFramePr>
        <xdr:cNvPr id="0" name="Chart 1"/>
        <xdr:cNvGraphicFramePr/>
      </xdr:nvGraphicFramePr>
      <xdr:xfrm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-148680</xdr:colOff>
      <xdr:row>49</xdr:row>
      <xdr:rowOff>146880</xdr:rowOff>
    </xdr:from>
    <xdr:to>
      <xdr:col>10</xdr:col>
      <xdr:colOff>0</xdr:colOff>
      <xdr:row>80</xdr:row>
      <xdr:rowOff>1080</xdr:rowOff>
    </xdr:to>
    <xdr:graphicFrame>
      <xdr:nvGraphicFramePr>
        <xdr:cNvPr id="1" name="Chart 2"/>
        <xdr:cNvGraphicFramePr/>
      </xdr:nvGraphicFramePr>
      <xdr:xfrm>
        <a:ext cx="71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-74160</xdr:colOff>
      <xdr:row>83</xdr:row>
      <xdr:rowOff>146520</xdr:rowOff>
    </xdr:from>
    <xdr:to>
      <xdr:col>6</xdr:col>
      <xdr:colOff>0</xdr:colOff>
      <xdr:row>100</xdr:row>
      <xdr:rowOff>147600</xdr:rowOff>
    </xdr:to>
    <xdr:graphicFrame>
      <xdr:nvGraphicFramePr>
        <xdr:cNvPr id="2" name="Chart 3"/>
        <xdr:cNvGraphicFramePr/>
      </xdr:nvGraphicFramePr>
      <xdr:xfrm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-74160</xdr:colOff>
      <xdr:row>83</xdr:row>
      <xdr:rowOff>146520</xdr:rowOff>
    </xdr:from>
    <xdr:to>
      <xdr:col>13</xdr:col>
      <xdr:colOff>0</xdr:colOff>
      <xdr:row>100</xdr:row>
      <xdr:rowOff>147600</xdr:rowOff>
    </xdr:to>
    <xdr:graphicFrame>
      <xdr:nvGraphicFramePr>
        <xdr:cNvPr id="3" name="Chart 4"/>
        <xdr:cNvGraphicFramePr/>
      </xdr:nvGraphicFramePr>
      <xdr:xfrm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-148680</xdr:colOff>
      <xdr:row>103</xdr:row>
      <xdr:rowOff>146880</xdr:rowOff>
    </xdr:from>
    <xdr:to>
      <xdr:col>10</xdr:col>
      <xdr:colOff>0</xdr:colOff>
      <xdr:row>120</xdr:row>
      <xdr:rowOff>147960</xdr:rowOff>
    </xdr:to>
    <xdr:graphicFrame>
      <xdr:nvGraphicFramePr>
        <xdr:cNvPr id="4" name="Chart 5"/>
        <xdr:cNvGraphicFramePr/>
      </xdr:nvGraphicFramePr>
      <xdr:xfrm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76200</xdr:colOff>
      <xdr:row>1</xdr:row>
      <xdr:rowOff>28575</xdr:rowOff>
    </xdr:from>
    <xdr:ext cx="552240" cy="552240"/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ext cx="552240" cy="552240"/>
        </a:xfrm>
        <a:prstGeom prst="rect">
          <a:avLst/>
        </a:prstGeom>
        <a:ln w="0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id="1" name="tblDeliverables" displayName="tblDeliverables" ref="A2:Q24" headerRowCount="1" totalsRowCount="0" totalsRowShown="0">
  <autoFilter ref="A2:Q24"/>
  <tableColumns count="17">
    <tableColumn id="1" name="رقم"/>
    <tableColumn id="2" name="المخرج"/>
    <tableColumn id="3" name="التصنيف"/>
    <tableColumn id="4" name="المختص / الجهة المراجعة"/>
    <tableColumn id="5" name="تاريخ استلام المخرج"/>
    <tableColumn id="6" name="عدد المراجعات"/>
    <tableColumn id="7" name="تاريخ الإرسال للمختص"/>
    <tableColumn id="8" name="أيام المراجعة"/>
    <tableColumn id="9" name="الحالة الحالية"/>
    <tableColumn id="10" name="المسؤول الحالي"/>
    <tableColumn id="11" name="الأولوية"/>
    <tableColumn id="12" name="تاريخ الإغلاق المستهدف"/>
    <tableColumn id="13" name="تاريخ آخر تحديث"/>
    <tableColumn id="14" name="آخر جهة قامت بالتحديث"/>
    <tableColumn id="15" name="الملاحظات"/>
    <tableColumn id="16" name="النطاق"/>
    <tableColumn id="17" name="مؤشر الالتزام الزمني"/>
  </tableColumns>
</table>
</file>

<file path=xl/tables/table2.xml><?xml version="1.0" encoding="utf-8"?>
<table xmlns="http://schemas.openxmlformats.org/spreadsheetml/2006/main" id="2" name="tblMeetings" displayName="tblMeetings" ref="A2:I6" headerRowCount="1" totalsRowCount="0" totalsRowShown="0">
  <autoFilter ref="A2:I6"/>
  <tableColumns count="9">
    <tableColumn id="1" name="رقم الاجتماع"/>
    <tableColumn id="2" name="تاريخ الاجتماع"/>
    <tableColumn id="3" name="عدد الحضور"/>
    <tableColumn id="4" name="عدد الغياب"/>
    <tableColumn id="5" name="أهم القرارات"/>
    <tableColumn id="6" name="الإجراءات المطلوبة"/>
    <tableColumn id="7" name="المسؤول"/>
    <tableColumn id="8" name="تاريخ الاستحقاق"/>
    <tableColumn id="9" name="الحالة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2.5"/>
    <col collapsed="false" customWidth="true" hidden="false" outlineLevel="0" max="15" min="15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9.75" hidden="false" customHeight="true" outlineLevel="0" collapsed="false">
      <c r="A2" s="1"/>
      <c r="B2" s="2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customFormat="false" ht="24" hidden="false" customHeight="true" outlineLevel="0" collapsed="false">
      <c r="A3" s="1"/>
      <c r="B3" s="2"/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8" hidden="false" customHeight="true" outlineLevel="0" collapsed="false">
      <c r="A5" s="1"/>
      <c r="B5" s="5" t="s">
        <v>2</v>
      </c>
      <c r="C5" s="5"/>
      <c r="D5" s="5"/>
      <c r="E5" s="5" t="s">
        <v>3</v>
      </c>
      <c r="F5" s="5"/>
      <c r="G5" s="5"/>
      <c r="H5" s="5" t="s">
        <v>4</v>
      </c>
      <c r="I5" s="5"/>
      <c r="J5" s="5"/>
      <c r="K5" s="5" t="s">
        <v>5</v>
      </c>
      <c r="L5" s="5"/>
      <c r="M5" s="5"/>
      <c r="N5" s="1"/>
      <c r="O5" s="1"/>
    </row>
    <row r="6" customFormat="false" ht="24" hidden="false" customHeight="true" outlineLevel="0" collapsed="false">
      <c r="A6" s="1"/>
      <c r="B6" s="6" t="str">
        <f aca="false">TEXT(MAX(tblDeliverables[تاريخ آخر تحديث]),"yyyy-mm-dd")</f>
        <v>2026-06-10</v>
      </c>
      <c r="C6" s="6"/>
      <c r="D6" s="6"/>
      <c r="E6" s="6" t="str">
        <f aca="true">TEXT(TODAY(),"yyyy-mm-dd")</f>
        <v>2026-06-18</v>
      </c>
      <c r="F6" s="6"/>
      <c r="G6" s="6"/>
      <c r="H6" s="6" t="s">
        <v>6</v>
      </c>
      <c r="I6" s="6"/>
      <c r="J6" s="6"/>
      <c r="K6" s="6" t="s">
        <v>7</v>
      </c>
      <c r="L6" s="6"/>
      <c r="M6" s="6"/>
      <c r="N6" s="1"/>
      <c r="O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6.15" hidden="false" customHeight="false" outlineLevel="0" collapsed="false">
      <c r="A8" s="1"/>
      <c r="B8" s="7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"/>
    </row>
    <row r="9" customFormat="false" ht="30" hidden="false" customHeight="true" outlineLevel="0" collapsed="false">
      <c r="A9" s="1"/>
      <c r="B9" s="8" t="n">
        <f aca="false">COUNTA(tblDeliverables[المخرج])</f>
        <v>22</v>
      </c>
      <c r="C9" s="8"/>
      <c r="D9" s="8"/>
      <c r="E9" s="9" t="n">
        <f aca="false">COUNTIF(tblDeliverables[الحالة الحالية],"مستلم")</f>
        <v>6</v>
      </c>
      <c r="F9" s="9"/>
      <c r="G9" s="9"/>
      <c r="H9" s="10" t="n">
        <f aca="false">COUNTIF(tblDeliverables[الحالة الحالية],"مراجعة المختصين")</f>
        <v>8</v>
      </c>
      <c r="I9" s="10"/>
      <c r="J9" s="10"/>
      <c r="K9" s="11" t="n">
        <f aca="false">COUNTIF(tblDeliverables[الحالة الحالية],"التعديل لدى الحلول القانونية")</f>
        <v>3</v>
      </c>
      <c r="L9" s="11"/>
      <c r="M9" s="11"/>
      <c r="N9" s="1"/>
      <c r="O9" s="1"/>
    </row>
    <row r="10" customFormat="false" ht="18" hidden="false" customHeight="true" outlineLevel="0" collapsed="false">
      <c r="A10" s="1"/>
      <c r="B10" s="12" t="s">
        <v>9</v>
      </c>
      <c r="C10" s="12"/>
      <c r="D10" s="12"/>
      <c r="E10" s="12" t="s">
        <v>10</v>
      </c>
      <c r="F10" s="12"/>
      <c r="G10" s="12"/>
      <c r="H10" s="12" t="s">
        <v>11</v>
      </c>
      <c r="I10" s="12"/>
      <c r="J10" s="12"/>
      <c r="K10" s="12" t="s">
        <v>12</v>
      </c>
      <c r="L10" s="12"/>
      <c r="M10" s="12"/>
      <c r="N10" s="1"/>
      <c r="O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30" hidden="false" customHeight="true" outlineLevel="0" collapsed="false">
      <c r="A12" s="1"/>
      <c r="B12" s="13" t="n">
        <f aca="false">COUNTIF(tblDeliverables[الحالة الحالية],"مراجعة لجنة الحوكمة")</f>
        <v>2</v>
      </c>
      <c r="C12" s="13"/>
      <c r="D12" s="13"/>
      <c r="E12" s="14" t="n">
        <f aca="false">COUNTIF(tblDeliverables[الحالة الحالية],"مراجعة لجنة الترشيحات والمكافآت")</f>
        <v>1</v>
      </c>
      <c r="F12" s="14"/>
      <c r="G12" s="14"/>
      <c r="H12" s="15" t="n">
        <f aca="false">COUNTIF(tblDeliverables[الحالة الحالية],"اعتماد مجلس الإدارة")</f>
        <v>1</v>
      </c>
      <c r="I12" s="15"/>
      <c r="J12" s="15"/>
      <c r="K12" s="16" t="n">
        <f aca="false">COUNTIF(tblDeliverables[الحالة الحالية],"معتمد ونافذ")</f>
        <v>1</v>
      </c>
      <c r="L12" s="16"/>
      <c r="M12" s="16"/>
      <c r="N12" s="1"/>
      <c r="O12" s="1"/>
    </row>
    <row r="13" customFormat="false" ht="18" hidden="false" customHeight="true" outlineLevel="0" collapsed="false">
      <c r="A13" s="1"/>
      <c r="B13" s="12" t="s">
        <v>13</v>
      </c>
      <c r="C13" s="12"/>
      <c r="D13" s="12"/>
      <c r="E13" s="12" t="s">
        <v>14</v>
      </c>
      <c r="F13" s="12"/>
      <c r="G13" s="12"/>
      <c r="H13" s="12" t="s">
        <v>15</v>
      </c>
      <c r="I13" s="12"/>
      <c r="J13" s="12"/>
      <c r="K13" s="12" t="s">
        <v>16</v>
      </c>
      <c r="L13" s="12"/>
      <c r="M13" s="12"/>
      <c r="N13" s="1"/>
      <c r="O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30" hidden="false" customHeight="true" outlineLevel="0" collapsed="false">
      <c r="A15" s="1"/>
      <c r="B15" s="17" t="n">
        <f aca="false">COUNTIF(tblDeliverables[مؤشر الالتزام الزمني],"متأخر")</f>
        <v>1</v>
      </c>
      <c r="C15" s="17"/>
      <c r="D15" s="17"/>
      <c r="E15" s="17" t="n">
        <f aca="false">COUNTIFS(tblDeliverables[الأولوية],"عالية",tblDeliverables[الحالة الحالية],"&lt;&gt;معتمد ونافذ")</f>
        <v>9</v>
      </c>
      <c r="F15" s="17"/>
      <c r="G15" s="17"/>
      <c r="H15" s="18" t="n">
        <f aca="false">IFERROR(ROUND(AVERAGE(tblDeliverables[أيام المراجعة]),1),0)</f>
        <v>88.6</v>
      </c>
      <c r="I15" s="18"/>
      <c r="J15" s="18"/>
      <c r="K15" s="19" t="n">
        <f aca="false">IFERROR(COUNTIF(tblDeliverables[الحالة الحالية],"معتمد ونافذ")/COUNTA(tblDeliverables[المخرج]),0)</f>
        <v>0.0454545454545455</v>
      </c>
      <c r="L15" s="19"/>
      <c r="M15" s="19"/>
      <c r="N15" s="1"/>
      <c r="O15" s="1"/>
    </row>
    <row r="16" customFormat="false" ht="18" hidden="false" customHeight="true" outlineLevel="0" collapsed="false">
      <c r="A16" s="1"/>
      <c r="B16" s="12" t="s">
        <v>17</v>
      </c>
      <c r="C16" s="12"/>
      <c r="D16" s="12"/>
      <c r="E16" s="12" t="s">
        <v>18</v>
      </c>
      <c r="F16" s="12"/>
      <c r="G16" s="12"/>
      <c r="H16" s="12" t="s">
        <v>19</v>
      </c>
      <c r="I16" s="12"/>
      <c r="J16" s="12"/>
      <c r="K16" s="12" t="s">
        <v>20</v>
      </c>
      <c r="L16" s="12"/>
      <c r="M16" s="12"/>
      <c r="N16" s="1"/>
      <c r="O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6.15" hidden="false" customHeight="false" outlineLevel="0" collapsed="false">
      <c r="A18" s="1"/>
      <c r="B18" s="7" t="s">
        <v>21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"/>
    </row>
    <row r="19" customFormat="false" ht="33.75" hidden="false" customHeight="true" outlineLevel="0" collapsed="false">
      <c r="A19" s="1"/>
      <c r="B19" s="20" t="s">
        <v>22</v>
      </c>
      <c r="C19" s="20"/>
      <c r="D19" s="20"/>
      <c r="E19" s="21" t="str">
        <f aca="false">IF(Data!$V$210="","لا يوجد",Data!$V$210)</f>
        <v>مصفوفة الصلاحيات الشاملة</v>
      </c>
      <c r="F19" s="21"/>
      <c r="G19" s="21"/>
      <c r="H19" s="21"/>
      <c r="I19" s="21"/>
      <c r="J19" s="21"/>
      <c r="K19" s="21"/>
      <c r="L19" s="21"/>
      <c r="M19" s="21"/>
      <c r="N19" s="21"/>
      <c r="O19" s="1"/>
    </row>
    <row r="20" customFormat="false" ht="33.75" hidden="false" customHeight="true" outlineLevel="0" collapsed="false">
      <c r="A20" s="1"/>
      <c r="B20" s="22" t="s">
        <v>23</v>
      </c>
      <c r="C20" s="22"/>
      <c r="D20" s="22"/>
      <c r="E20" s="21" t="str">
        <f aca="false">IF(Data!$W$210="","لا يوجد",Data!$W$210)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F20" s="21"/>
      <c r="G20" s="21"/>
      <c r="H20" s="21"/>
      <c r="I20" s="21"/>
      <c r="J20" s="21"/>
      <c r="K20" s="21"/>
      <c r="L20" s="21"/>
      <c r="M20" s="21"/>
      <c r="N20" s="21"/>
      <c r="O20" s="1"/>
    </row>
    <row r="21" customFormat="false" ht="33.75" hidden="false" customHeight="true" outlineLevel="0" collapsed="false">
      <c r="A21" s="1"/>
      <c r="B21" s="23" t="s">
        <v>24</v>
      </c>
      <c r="C21" s="23"/>
      <c r="D21" s="23"/>
      <c r="E21" s="21" t="str">
        <f aca="false">IF(Data!$X$210="","لا يوجد",Data!$X$210)</f>
        <v>مراجعة حالة المخرجات المتأخرة،  الموافقة على رفع لوائح اللجان للمجلس</v>
      </c>
      <c r="F21" s="21"/>
      <c r="G21" s="21"/>
      <c r="H21" s="21"/>
      <c r="I21" s="21"/>
      <c r="J21" s="21"/>
      <c r="K21" s="21"/>
      <c r="L21" s="21"/>
      <c r="M21" s="21"/>
      <c r="N21" s="21"/>
      <c r="O21" s="1"/>
    </row>
    <row r="22" customFormat="false" ht="33.75" hidden="false" customHeight="true" outlineLevel="0" collapsed="false">
      <c r="A22" s="1"/>
      <c r="B22" s="24" t="s">
        <v>25</v>
      </c>
      <c r="C22" s="24"/>
      <c r="D22" s="24"/>
      <c r="E22" s="21" t="str">
        <f aca="false">IF(Data!$Y$210="","لا يوجد",Data!$Y$210)</f>
        <v>تسريع اعتماد مصفوفة الصلاحيات الشاملة،  جدولة جلسة اعتماد لائحة مجلس الإدارة</v>
      </c>
      <c r="F22" s="21"/>
      <c r="G22" s="21"/>
      <c r="H22" s="21"/>
      <c r="I22" s="21"/>
      <c r="J22" s="21"/>
      <c r="K22" s="21"/>
      <c r="L22" s="21"/>
      <c r="M22" s="21"/>
      <c r="N22" s="21"/>
      <c r="O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25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1"/>
    </row>
    <row r="25" customFormat="false" ht="25.5" hidden="false" customHeight="true" outlineLevel="0" collapsed="false">
      <c r="A25" s="1"/>
      <c r="B25" s="26" t="s">
        <v>27</v>
      </c>
      <c r="C25" s="26"/>
      <c r="D25" s="26"/>
      <c r="E25" s="27" t="s">
        <v>28</v>
      </c>
      <c r="F25" s="27"/>
      <c r="G25" s="26" t="s">
        <v>29</v>
      </c>
      <c r="H25" s="26"/>
      <c r="I25" s="27" t="s">
        <v>30</v>
      </c>
      <c r="J25" s="27"/>
      <c r="K25" s="26" t="s">
        <v>31</v>
      </c>
      <c r="L25" s="26"/>
      <c r="M25" s="27" t="s">
        <v>30</v>
      </c>
      <c r="N25" s="27"/>
      <c r="O25" s="1"/>
    </row>
    <row r="26" customFormat="false" ht="15" hidden="false" customHeight="false" outlineLevel="0" collapsed="false">
      <c r="A26" s="1"/>
      <c r="B26" s="28" t="s">
        <v>32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1"/>
    </row>
    <row r="27" customFormat="false" ht="16.15" hidden="false" customHeight="false" outlineLevel="0" collapsed="false">
      <c r="A27" s="1"/>
      <c r="B27" s="7" t="s">
        <v>33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"/>
    </row>
    <row r="28" customFormat="false" ht="21.75" hidden="false" customHeight="true" outlineLevel="0" collapsed="false">
      <c r="A28" s="1"/>
      <c r="B28" s="29" t="str">
        <f aca="false">"◆  الرسم الرئيسي التفاعلي:  "&amp;Data!$AA$1</f>
        <v>◆  الرسم الرئيسي التفاعلي:  التوزيع حسب الحالة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</row>
    <row r="29" customFormat="false" ht="1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customFormat="false" ht="1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customFormat="false" ht="1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customFormat="false" ht="1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customFormat="false" ht="1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customFormat="false" ht="1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customFormat="false" ht="15" hidden="false" customHeight="true" outlineLevel="0" collapsed="false">
      <c r="A125" s="1"/>
      <c r="B125" s="30" t="s">
        <v>34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1"/>
    </row>
    <row r="126" customFormat="false" ht="21.75" hidden="false" customHeight="true" outlineLevel="0" collapsed="false">
      <c r="A126" s="1"/>
      <c r="B126" s="31" t="s">
        <v>35</v>
      </c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1"/>
    </row>
    <row r="127" customFormat="false" ht="21.75" hidden="false" customHeight="true" outlineLevel="0" collapsed="false">
      <c r="A127" s="1"/>
      <c r="B127" s="32" t="s">
        <v>36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</sheetData>
  <sheetProtection sheet="true" password="d475" objects="true"/>
  <mergeCells count="57">
    <mergeCell ref="C2:N2"/>
    <mergeCell ref="C3:N3"/>
    <mergeCell ref="B5:D5"/>
    <mergeCell ref="E5:G5"/>
    <mergeCell ref="H5:J5"/>
    <mergeCell ref="K5:M5"/>
    <mergeCell ref="B6:D6"/>
    <mergeCell ref="E6:G6"/>
    <mergeCell ref="H6:J6"/>
    <mergeCell ref="K6:M6"/>
    <mergeCell ref="B8:N8"/>
    <mergeCell ref="B9:D9"/>
    <mergeCell ref="E9:G9"/>
    <mergeCell ref="H9:J9"/>
    <mergeCell ref="K9:M9"/>
    <mergeCell ref="B10:D10"/>
    <mergeCell ref="E10:G10"/>
    <mergeCell ref="H10:J10"/>
    <mergeCell ref="K10:M10"/>
    <mergeCell ref="B12:D12"/>
    <mergeCell ref="E12:G12"/>
    <mergeCell ref="H12:J12"/>
    <mergeCell ref="K12:M12"/>
    <mergeCell ref="B13:D13"/>
    <mergeCell ref="E13:G13"/>
    <mergeCell ref="H13:J13"/>
    <mergeCell ref="K13:M13"/>
    <mergeCell ref="B15:D15"/>
    <mergeCell ref="E15:G15"/>
    <mergeCell ref="H15:J15"/>
    <mergeCell ref="K15:M15"/>
    <mergeCell ref="B16:D16"/>
    <mergeCell ref="E16:G16"/>
    <mergeCell ref="H16:J16"/>
    <mergeCell ref="K16:M16"/>
    <mergeCell ref="B18:N18"/>
    <mergeCell ref="B19:D19"/>
    <mergeCell ref="E19:N19"/>
    <mergeCell ref="B20:D20"/>
    <mergeCell ref="E20:N20"/>
    <mergeCell ref="B21:D21"/>
    <mergeCell ref="E21:N21"/>
    <mergeCell ref="B22:D22"/>
    <mergeCell ref="E22:N22"/>
    <mergeCell ref="B24:N24"/>
    <mergeCell ref="B25:D25"/>
    <mergeCell ref="E25:F25"/>
    <mergeCell ref="G25:H25"/>
    <mergeCell ref="I25:J25"/>
    <mergeCell ref="K25:L25"/>
    <mergeCell ref="M25:N25"/>
    <mergeCell ref="B26:N26"/>
    <mergeCell ref="B27:N27"/>
    <mergeCell ref="B28:N28"/>
    <mergeCell ref="B125:N125"/>
    <mergeCell ref="B126:N126"/>
    <mergeCell ref="B127:N127"/>
  </mergeCells>
  <dataValidations count="3">
    <dataValidation allowBlank="false" errorStyle="stop" operator="between" showDropDown="false" showErrorMessage="false" showInputMessage="false" sqref="E25" type="list">
      <formula1>'Lookup Lists'!$G$5:$G$9</formula1>
      <formula2>0</formula2>
    </dataValidation>
    <dataValidation allowBlank="false" errorStyle="stop" operator="between" showDropDown="false" showErrorMessage="false" showInputMessage="false" sqref="I25" type="list">
      <formula1>'Lookup Lists'!$H$5:$H$9</formula1>
      <formula2>0</formula2>
    </dataValidation>
    <dataValidation allowBlank="false" errorStyle="stop" operator="between" showDropDown="false" showErrorMessage="false" showInputMessage="false" sqref="M25" type="list">
      <formula1>'Lookup Lists'!$I$5:$I$8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&amp;Cإعداد شركة أمين للذكاء الاصطناعي — مقدَّم إلى شركة العطيشان القابضة&amp;Rرئيس اللجنة التوجيهية: محمد البوعلي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671"/>
    <pageSetUpPr fitToPage="false"/>
  </sheetPr>
  <dimension ref="A1:K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1" min="10" style="0" width="16"/>
  </cols>
  <sheetData>
    <row r="1" customFormat="false" ht="19.7" hidden="false" customHeight="false" outlineLevel="0" collapsed="false">
      <c r="A1" s="33" t="s">
        <v>37</v>
      </c>
      <c r="B1" s="33"/>
      <c r="C1" s="33"/>
      <c r="D1" s="33"/>
      <c r="E1" s="33"/>
    </row>
    <row r="2" customFormat="false" ht="15" hidden="false" customHeight="false" outlineLevel="0" collapsed="false">
      <c r="A2" s="34" t="s">
        <v>38</v>
      </c>
      <c r="B2" s="34"/>
      <c r="C2" s="34"/>
      <c r="D2" s="34"/>
      <c r="E2" s="34"/>
      <c r="G2" s="34" t="s">
        <v>39</v>
      </c>
      <c r="H2" s="34"/>
      <c r="I2" s="34"/>
      <c r="J2" s="34"/>
      <c r="K2" s="34"/>
    </row>
    <row r="4" customFormat="false" ht="15" hidden="false" customHeight="false" outlineLevel="0" collapsed="false">
      <c r="A4" s="35" t="s">
        <v>40</v>
      </c>
      <c r="B4" s="35" t="s">
        <v>41</v>
      </c>
      <c r="C4" s="35" t="s">
        <v>42</v>
      </c>
      <c r="D4" s="35" t="s">
        <v>43</v>
      </c>
      <c r="E4" s="35" t="s">
        <v>44</v>
      </c>
      <c r="G4" s="36" t="s">
        <v>45</v>
      </c>
      <c r="H4" s="36" t="s">
        <v>46</v>
      </c>
      <c r="I4" s="36" t="s">
        <v>47</v>
      </c>
      <c r="J4" s="36" t="s">
        <v>48</v>
      </c>
      <c r="K4" s="36" t="s">
        <v>49</v>
      </c>
    </row>
    <row r="5" customFormat="false" ht="15" hidden="false" customHeight="false" outlineLevel="0" collapsed="false">
      <c r="A5" s="37" t="s">
        <v>50</v>
      </c>
      <c r="B5" s="37" t="s">
        <v>51</v>
      </c>
      <c r="C5" s="37" t="s">
        <v>52</v>
      </c>
      <c r="D5" s="37" t="s">
        <v>53</v>
      </c>
      <c r="E5" s="37" t="s">
        <v>54</v>
      </c>
      <c r="G5" s="37" t="s">
        <v>28</v>
      </c>
      <c r="H5" s="37" t="s">
        <v>30</v>
      </c>
      <c r="I5" s="37" t="s">
        <v>30</v>
      </c>
      <c r="J5" s="37" t="s">
        <v>55</v>
      </c>
      <c r="K5" s="37" t="s">
        <v>56</v>
      </c>
    </row>
    <row r="6" customFormat="false" ht="15" hidden="false" customHeight="false" outlineLevel="0" collapsed="false">
      <c r="A6" s="38" t="s">
        <v>57</v>
      </c>
      <c r="B6" s="38" t="s">
        <v>58</v>
      </c>
      <c r="C6" s="38" t="s">
        <v>59</v>
      </c>
      <c r="D6" s="38" t="s">
        <v>60</v>
      </c>
      <c r="E6" s="38" t="s">
        <v>61</v>
      </c>
      <c r="G6" s="38" t="s">
        <v>62</v>
      </c>
      <c r="H6" s="38" t="s">
        <v>53</v>
      </c>
      <c r="I6" s="38" t="s">
        <v>51</v>
      </c>
      <c r="J6" s="38" t="s">
        <v>63</v>
      </c>
      <c r="K6" s="38" t="s">
        <v>64</v>
      </c>
    </row>
    <row r="7" customFormat="false" ht="15" hidden="false" customHeight="false" outlineLevel="0" collapsed="false">
      <c r="A7" s="37" t="s">
        <v>65</v>
      </c>
      <c r="B7" s="37" t="s">
        <v>66</v>
      </c>
      <c r="C7" s="37" t="s">
        <v>67</v>
      </c>
      <c r="D7" s="37" t="s">
        <v>68</v>
      </c>
      <c r="E7" s="37" t="s">
        <v>55</v>
      </c>
      <c r="G7" s="37" t="s">
        <v>69</v>
      </c>
      <c r="H7" s="37" t="s">
        <v>60</v>
      </c>
      <c r="I7" s="37" t="s">
        <v>58</v>
      </c>
      <c r="J7" s="37" t="s">
        <v>70</v>
      </c>
    </row>
    <row r="8" customFormat="false" ht="15" hidden="false" customHeight="false" outlineLevel="0" collapsed="false">
      <c r="A8" s="38" t="s">
        <v>71</v>
      </c>
      <c r="C8" s="38" t="s">
        <v>72</v>
      </c>
      <c r="D8" s="38" t="s">
        <v>73</v>
      </c>
      <c r="G8" s="38" t="s">
        <v>49</v>
      </c>
      <c r="H8" s="38" t="s">
        <v>68</v>
      </c>
      <c r="I8" s="38" t="s">
        <v>66</v>
      </c>
    </row>
    <row r="9" customFormat="false" ht="15" hidden="false" customHeight="false" outlineLevel="0" collapsed="false">
      <c r="A9" s="37" t="s">
        <v>74</v>
      </c>
      <c r="C9" s="37" t="s">
        <v>75</v>
      </c>
      <c r="G9" s="37" t="s">
        <v>76</v>
      </c>
      <c r="H9" s="37" t="s">
        <v>73</v>
      </c>
    </row>
    <row r="10" customFormat="false" ht="15" hidden="false" customHeight="false" outlineLevel="0" collapsed="false">
      <c r="A10" s="38" t="s">
        <v>77</v>
      </c>
      <c r="C10" s="38" t="s">
        <v>78</v>
      </c>
    </row>
    <row r="11" customFormat="false" ht="15" hidden="false" customHeight="false" outlineLevel="0" collapsed="false">
      <c r="A11" s="37" t="s">
        <v>79</v>
      </c>
      <c r="C11" s="37" t="s">
        <v>80</v>
      </c>
    </row>
    <row r="12" customFormat="false" ht="15" hidden="false" customHeight="false" outlineLevel="0" collapsed="false">
      <c r="C12" s="38" t="s">
        <v>81</v>
      </c>
    </row>
    <row r="13" customFormat="false" ht="15" hidden="false" customHeight="false" outlineLevel="0" collapsed="false">
      <c r="C13" s="37" t="s">
        <v>82</v>
      </c>
    </row>
    <row r="14" customFormat="false" ht="15" hidden="false" customHeight="false" outlineLevel="0" collapsed="false">
      <c r="C14" s="38" t="s">
        <v>83</v>
      </c>
    </row>
    <row r="15" customFormat="false" ht="15" hidden="false" customHeight="false" outlineLevel="0" collapsed="false">
      <c r="C15" s="37" t="s">
        <v>84</v>
      </c>
    </row>
    <row r="16" customFormat="false" ht="15" hidden="false" customHeight="false" outlineLevel="0" collapsed="false">
      <c r="C16" s="38" t="s">
        <v>85</v>
      </c>
    </row>
    <row r="17" customFormat="false" ht="15" hidden="false" customHeight="false" outlineLevel="0" collapsed="false">
      <c r="C17" s="37" t="s">
        <v>86</v>
      </c>
    </row>
    <row r="18" customFormat="false" ht="15" hidden="false" customHeight="false" outlineLevel="0" collapsed="false">
      <c r="C18" s="38" t="s">
        <v>87</v>
      </c>
    </row>
    <row r="19" customFormat="false" ht="15" hidden="false" customHeight="false" outlineLevel="0" collapsed="false">
      <c r="C19" s="37" t="s">
        <v>88</v>
      </c>
    </row>
    <row r="20" customFormat="false" ht="15" hidden="false" customHeight="false" outlineLevel="0" collapsed="false">
      <c r="C20" s="38" t="s">
        <v>89</v>
      </c>
    </row>
    <row r="21" customFormat="false" ht="15" hidden="false" customHeight="false" outlineLevel="0" collapsed="false">
      <c r="C21" s="37" t="s">
        <v>6</v>
      </c>
    </row>
  </sheetData>
  <mergeCells count="3">
    <mergeCell ref="A1:E1"/>
    <mergeCell ref="A2:E2"/>
    <mergeCell ref="G2:K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&amp;Cإعداد شركة أمين للذكاء الاصطناعي — مقدَّم إلى شركة العطيشان القابضة&amp;Rرئيس اللجنة التوجيهية: محمد البوعلي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463C"/>
    <pageSetUpPr fitToPage="true"/>
  </sheetPr>
  <dimension ref="A1:Q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8"/>
    <col collapsed="false" customWidth="true" hidden="false" outlineLevel="0" max="15" min="15" style="0" width="26"/>
    <col collapsed="false" customWidth="true" hidden="false" outlineLevel="0" max="16" min="16" style="0" width="14"/>
    <col collapsed="false" customWidth="true" hidden="false" outlineLevel="0" max="17" min="17" style="0" width="16"/>
  </cols>
  <sheetData>
    <row r="1" customFormat="false" ht="30" hidden="false" customHeight="true" outlineLevel="0" collapsed="false">
      <c r="A1" s="39" t="s">
        <v>90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customFormat="false" ht="39.75" hidden="false" customHeight="true" outlineLevel="0" collapsed="false">
      <c r="A2" s="40" t="s">
        <v>91</v>
      </c>
      <c r="B2" s="40" t="s">
        <v>92</v>
      </c>
      <c r="C2" s="40" t="s">
        <v>69</v>
      </c>
      <c r="D2" s="40" t="s">
        <v>93</v>
      </c>
      <c r="E2" s="40" t="s">
        <v>94</v>
      </c>
      <c r="F2" s="40" t="s">
        <v>95</v>
      </c>
      <c r="G2" s="40" t="s">
        <v>96</v>
      </c>
      <c r="H2" s="40" t="s">
        <v>97</v>
      </c>
      <c r="I2" s="40" t="s">
        <v>98</v>
      </c>
      <c r="J2" s="40" t="s">
        <v>99</v>
      </c>
      <c r="K2" s="40" t="s">
        <v>62</v>
      </c>
      <c r="L2" s="40" t="s">
        <v>100</v>
      </c>
      <c r="M2" s="40" t="s">
        <v>2</v>
      </c>
      <c r="N2" s="40" t="s">
        <v>101</v>
      </c>
      <c r="O2" s="40" t="s">
        <v>102</v>
      </c>
      <c r="P2" s="40" t="s">
        <v>49</v>
      </c>
      <c r="Q2" s="40" t="s">
        <v>103</v>
      </c>
    </row>
    <row r="3" customFormat="false" ht="21.75" hidden="false" customHeight="true" outlineLevel="0" collapsed="false">
      <c r="A3" s="41" t="n">
        <v>1</v>
      </c>
      <c r="B3" s="42" t="s">
        <v>104</v>
      </c>
      <c r="C3" s="41" t="s">
        <v>53</v>
      </c>
      <c r="D3" s="43" t="s">
        <v>59</v>
      </c>
      <c r="E3" s="44" t="n">
        <v>46034</v>
      </c>
      <c r="F3" s="41" t="n">
        <v>3</v>
      </c>
      <c r="G3" s="44" t="n">
        <v>46042</v>
      </c>
      <c r="H3" s="41" t="str">
        <f aca="true">IF(G3="","",IF(I3="معتمد ونافذ","",TODAY()-G3))</f>
        <v/>
      </c>
      <c r="I3" s="41" t="s">
        <v>79</v>
      </c>
      <c r="J3" s="43" t="s">
        <v>81</v>
      </c>
      <c r="K3" s="41" t="s">
        <v>51</v>
      </c>
      <c r="L3" s="44" t="n">
        <v>46096</v>
      </c>
      <c r="M3" s="44" t="n">
        <v>46097</v>
      </c>
      <c r="N3" s="43" t="s">
        <v>59</v>
      </c>
      <c r="O3" s="42"/>
      <c r="P3" s="41" t="s">
        <v>56</v>
      </c>
      <c r="Q3" s="41" t="str">
        <f aca="true">IF(I3="معتمد ونافذ","مكتمل",IF(L3="","غير محدد",IF(TODAY()&gt;L3,"متأخر","ضمن الخطة")))</f>
        <v>مكتمل</v>
      </c>
    </row>
    <row r="4" customFormat="false" ht="21.75" hidden="false" customHeight="true" outlineLevel="0" collapsed="false">
      <c r="A4" s="45" t="n">
        <v>2</v>
      </c>
      <c r="B4" s="46" t="s">
        <v>105</v>
      </c>
      <c r="C4" s="45" t="s">
        <v>53</v>
      </c>
      <c r="D4" s="47" t="s">
        <v>59</v>
      </c>
      <c r="E4" s="48" t="n">
        <v>46034</v>
      </c>
      <c r="F4" s="45" t="n">
        <v>2</v>
      </c>
      <c r="G4" s="48" t="n">
        <v>46047</v>
      </c>
      <c r="H4" s="49" t="n">
        <f aca="true">IF(G4="","",IF(I4="معتمد ونافذ","",TODAY()-G4))</f>
        <v>144</v>
      </c>
      <c r="I4" s="45" t="s">
        <v>77</v>
      </c>
      <c r="J4" s="47" t="s">
        <v>81</v>
      </c>
      <c r="K4" s="45" t="s">
        <v>51</v>
      </c>
      <c r="L4" s="48" t="n">
        <v>46203</v>
      </c>
      <c r="M4" s="48" t="n">
        <v>46181</v>
      </c>
      <c r="N4" s="47" t="s">
        <v>6</v>
      </c>
      <c r="O4" s="46" t="s">
        <v>106</v>
      </c>
      <c r="P4" s="45" t="s">
        <v>56</v>
      </c>
      <c r="Q4" s="45" t="str">
        <f aca="true">IF(I4="معتمد ونافذ","مكتمل",IF(L4="","غير محدد",IF(TODAY()&gt;L4,"متأخر","ضمن الخطة")))</f>
        <v>ضمن الخطة</v>
      </c>
    </row>
    <row r="5" customFormat="false" ht="21.75" hidden="false" customHeight="true" outlineLevel="0" collapsed="false">
      <c r="A5" s="41" t="n">
        <v>3</v>
      </c>
      <c r="B5" s="42" t="s">
        <v>107</v>
      </c>
      <c r="C5" s="41" t="s">
        <v>53</v>
      </c>
      <c r="D5" s="43" t="s">
        <v>67</v>
      </c>
      <c r="E5" s="44" t="n">
        <v>46056</v>
      </c>
      <c r="F5" s="41" t="n">
        <v>2</v>
      </c>
      <c r="G5" s="44" t="n">
        <v>46068</v>
      </c>
      <c r="H5" s="41" t="n">
        <f aca="true">IF(G5="","",IF(I5="معتمد ونافذ","",TODAY()-G5))</f>
        <v>123</v>
      </c>
      <c r="I5" s="41" t="s">
        <v>71</v>
      </c>
      <c r="J5" s="43" t="s">
        <v>6</v>
      </c>
      <c r="K5" s="41" t="s">
        <v>51</v>
      </c>
      <c r="L5" s="44" t="n">
        <v>46198</v>
      </c>
      <c r="M5" s="44" t="n">
        <v>46178</v>
      </c>
      <c r="N5" s="43" t="s">
        <v>67</v>
      </c>
      <c r="O5" s="42"/>
      <c r="P5" s="41" t="s">
        <v>56</v>
      </c>
      <c r="Q5" s="41" t="str">
        <f aca="true">IF(I5="معتمد ونافذ","مكتمل",IF(L5="","غير محدد",IF(TODAY()&gt;L5,"متأخر","ضمن الخطة")))</f>
        <v>ضمن الخطة</v>
      </c>
    </row>
    <row r="6" customFormat="false" ht="21.75" hidden="false" customHeight="true" outlineLevel="0" collapsed="false">
      <c r="A6" s="45" t="n">
        <v>4</v>
      </c>
      <c r="B6" s="46" t="s">
        <v>108</v>
      </c>
      <c r="C6" s="45" t="s">
        <v>53</v>
      </c>
      <c r="D6" s="47" t="s">
        <v>72</v>
      </c>
      <c r="E6" s="48" t="n">
        <v>46056</v>
      </c>
      <c r="F6" s="45" t="n">
        <v>1</v>
      </c>
      <c r="G6" s="48" t="n">
        <v>46071</v>
      </c>
      <c r="H6" s="49" t="n">
        <f aca="true">IF(G6="","",IF(I6="معتمد ونافذ","",TODAY()-G6))</f>
        <v>120</v>
      </c>
      <c r="I6" s="45" t="s">
        <v>74</v>
      </c>
      <c r="J6" s="47" t="s">
        <v>72</v>
      </c>
      <c r="K6" s="45" t="s">
        <v>51</v>
      </c>
      <c r="L6" s="48" t="n">
        <v>46193</v>
      </c>
      <c r="M6" s="48" t="n">
        <v>46175</v>
      </c>
      <c r="N6" s="47" t="s">
        <v>6</v>
      </c>
      <c r="O6" s="46" t="s">
        <v>109</v>
      </c>
      <c r="P6" s="45" t="s">
        <v>56</v>
      </c>
      <c r="Q6" s="45" t="str">
        <f aca="true">IF(I6="معتمد ونافذ","مكتمل",IF(L6="","غير محدد",IF(TODAY()&gt;L6,"متأخر","ضمن الخطة")))</f>
        <v>ضمن الخطة</v>
      </c>
    </row>
    <row r="7" customFormat="false" ht="21.75" hidden="false" customHeight="true" outlineLevel="0" collapsed="false">
      <c r="A7" s="41" t="n">
        <v>5</v>
      </c>
      <c r="B7" s="42" t="s">
        <v>110</v>
      </c>
      <c r="C7" s="41" t="s">
        <v>53</v>
      </c>
      <c r="D7" s="43" t="s">
        <v>83</v>
      </c>
      <c r="E7" s="44" t="n">
        <v>46082</v>
      </c>
      <c r="F7" s="41" t="n">
        <v>1</v>
      </c>
      <c r="G7" s="44" t="n">
        <v>46091</v>
      </c>
      <c r="H7" s="41" t="n">
        <f aca="true">IF(G7="","",IF(I7="معتمد ونافذ","",TODAY()-G7))</f>
        <v>100</v>
      </c>
      <c r="I7" s="41" t="s">
        <v>57</v>
      </c>
      <c r="J7" s="43" t="s">
        <v>83</v>
      </c>
      <c r="K7" s="41" t="s">
        <v>58</v>
      </c>
      <c r="L7" s="44" t="n">
        <v>46218</v>
      </c>
      <c r="M7" s="44" t="n">
        <v>46170</v>
      </c>
      <c r="N7" s="43" t="s">
        <v>83</v>
      </c>
      <c r="O7" s="42"/>
      <c r="P7" s="41" t="s">
        <v>56</v>
      </c>
      <c r="Q7" s="41" t="str">
        <f aca="true">IF(I7="معتمد ونافذ","مكتمل",IF(L7="","غير محدد",IF(TODAY()&gt;L7,"متأخر","ضمن الخطة")))</f>
        <v>ضمن الخطة</v>
      </c>
    </row>
    <row r="8" customFormat="false" ht="21.75" hidden="false" customHeight="true" outlineLevel="0" collapsed="false">
      <c r="A8" s="45" t="n">
        <v>6</v>
      </c>
      <c r="B8" s="46" t="s">
        <v>111</v>
      </c>
      <c r="C8" s="45" t="s">
        <v>53</v>
      </c>
      <c r="D8" s="47" t="s">
        <v>75</v>
      </c>
      <c r="E8" s="48" t="n">
        <v>46086</v>
      </c>
      <c r="F8" s="45" t="n">
        <v>1</v>
      </c>
      <c r="G8" s="48" t="n">
        <v>46093</v>
      </c>
      <c r="H8" s="49" t="n">
        <f aca="true">IF(G8="","",IF(I8="معتمد ونافذ","",TODAY()-G8))</f>
        <v>98</v>
      </c>
      <c r="I8" s="45" t="s">
        <v>65</v>
      </c>
      <c r="J8" s="47" t="s">
        <v>89</v>
      </c>
      <c r="K8" s="45" t="s">
        <v>58</v>
      </c>
      <c r="L8" s="48" t="n">
        <v>46204</v>
      </c>
      <c r="M8" s="48" t="n">
        <v>46183</v>
      </c>
      <c r="N8" s="47" t="s">
        <v>89</v>
      </c>
      <c r="O8" s="46"/>
      <c r="P8" s="45" t="s">
        <v>56</v>
      </c>
      <c r="Q8" s="45" t="str">
        <f aca="true">IF(I8="معتمد ونافذ","مكتمل",IF(L8="","غير محدد",IF(TODAY()&gt;L8,"متأخر","ضمن الخطة")))</f>
        <v>ضمن الخطة</v>
      </c>
    </row>
    <row r="9" customFormat="false" ht="21.75" hidden="false" customHeight="true" outlineLevel="0" collapsed="false">
      <c r="A9" s="41" t="n">
        <v>7</v>
      </c>
      <c r="B9" s="42" t="s">
        <v>112</v>
      </c>
      <c r="C9" s="41" t="s">
        <v>53</v>
      </c>
      <c r="D9" s="43" t="s">
        <v>75</v>
      </c>
      <c r="E9" s="44" t="n">
        <v>46162</v>
      </c>
      <c r="F9" s="41" t="n">
        <v>0</v>
      </c>
      <c r="G9" s="44"/>
      <c r="H9" s="41" t="str">
        <f aca="true">IF(G9="","",IF(I9="معتمد ونافذ","",TODAY()-G9))</f>
        <v/>
      </c>
      <c r="I9" s="41" t="s">
        <v>50</v>
      </c>
      <c r="J9" s="43" t="s">
        <v>6</v>
      </c>
      <c r="K9" s="41" t="s">
        <v>58</v>
      </c>
      <c r="L9" s="44" t="n">
        <v>46223</v>
      </c>
      <c r="M9" s="44" t="n">
        <v>46162</v>
      </c>
      <c r="N9" s="43" t="s">
        <v>6</v>
      </c>
      <c r="O9" s="42" t="s">
        <v>113</v>
      </c>
      <c r="P9" s="41" t="s">
        <v>56</v>
      </c>
      <c r="Q9" s="41" t="str">
        <f aca="true">IF(I9="معتمد ونافذ","مكتمل",IF(L9="","غير محدد",IF(TODAY()&gt;L9,"متأخر","ضمن الخطة")))</f>
        <v>ضمن الخطة</v>
      </c>
    </row>
    <row r="10" customFormat="false" ht="21.75" hidden="false" customHeight="true" outlineLevel="0" collapsed="false">
      <c r="A10" s="45" t="n">
        <v>8</v>
      </c>
      <c r="B10" s="46" t="s">
        <v>114</v>
      </c>
      <c r="C10" s="45" t="s">
        <v>73</v>
      </c>
      <c r="D10" s="47" t="s">
        <v>6</v>
      </c>
      <c r="E10" s="48" t="n">
        <v>46167</v>
      </c>
      <c r="F10" s="45" t="n">
        <v>0</v>
      </c>
      <c r="G10" s="48"/>
      <c r="H10" s="49" t="str">
        <f aca="true">IF(G10="","",IF(I10="معتمد ونافذ","",TODAY()-G10))</f>
        <v/>
      </c>
      <c r="I10" s="45" t="s">
        <v>50</v>
      </c>
      <c r="J10" s="47" t="s">
        <v>6</v>
      </c>
      <c r="K10" s="45" t="s">
        <v>66</v>
      </c>
      <c r="L10" s="48" t="n">
        <v>46233</v>
      </c>
      <c r="M10" s="48" t="n">
        <v>46167</v>
      </c>
      <c r="N10" s="47" t="s">
        <v>6</v>
      </c>
      <c r="O10" s="46"/>
      <c r="P10" s="45" t="s">
        <v>56</v>
      </c>
      <c r="Q10" s="45" t="str">
        <f aca="true">IF(I10="معتمد ونافذ","مكتمل",IF(L10="","غير محدد",IF(TODAY()&gt;L10,"متأخر","ضمن الخطة")))</f>
        <v>ضمن الخطة</v>
      </c>
    </row>
    <row r="11" customFormat="false" ht="21.75" hidden="false" customHeight="true" outlineLevel="0" collapsed="false">
      <c r="A11" s="41" t="n">
        <v>9</v>
      </c>
      <c r="B11" s="42" t="s">
        <v>115</v>
      </c>
      <c r="C11" s="41" t="s">
        <v>53</v>
      </c>
      <c r="D11" s="43" t="s">
        <v>78</v>
      </c>
      <c r="E11" s="44" t="n">
        <v>46073</v>
      </c>
      <c r="F11" s="41" t="n">
        <v>2</v>
      </c>
      <c r="G11" s="44" t="n">
        <v>46083</v>
      </c>
      <c r="H11" s="41" t="n">
        <f aca="true">IF(G11="","",IF(I11="معتمد ونافذ","",TODAY()-G11))</f>
        <v>108</v>
      </c>
      <c r="I11" s="41" t="s">
        <v>57</v>
      </c>
      <c r="J11" s="43" t="s">
        <v>78</v>
      </c>
      <c r="K11" s="41" t="s">
        <v>51</v>
      </c>
      <c r="L11" s="44" t="n">
        <v>46157</v>
      </c>
      <c r="M11" s="44" t="n">
        <v>46174</v>
      </c>
      <c r="N11" s="43" t="s">
        <v>78</v>
      </c>
      <c r="O11" s="42" t="s">
        <v>116</v>
      </c>
      <c r="P11" s="41" t="s">
        <v>56</v>
      </c>
      <c r="Q11" s="41" t="str">
        <f aca="true">IF(I11="معتمد ونافذ","مكتمل",IF(L11="","غير محدد",IF(TODAY()&gt;L11,"متأخر","ضمن الخطة")))</f>
        <v>متأخر</v>
      </c>
    </row>
    <row r="12" customFormat="false" ht="21.75" hidden="false" customHeight="true" outlineLevel="0" collapsed="false">
      <c r="A12" s="45" t="n">
        <v>10</v>
      </c>
      <c r="B12" s="46" t="s">
        <v>117</v>
      </c>
      <c r="C12" s="45" t="s">
        <v>73</v>
      </c>
      <c r="D12" s="47" t="s">
        <v>85</v>
      </c>
      <c r="E12" s="48" t="n">
        <v>46091</v>
      </c>
      <c r="F12" s="45" t="n">
        <v>1</v>
      </c>
      <c r="G12" s="48" t="n">
        <v>46099</v>
      </c>
      <c r="H12" s="49" t="n">
        <f aca="true">IF(G12="","",IF(I12="معتمد ونافذ","",TODAY()-G12))</f>
        <v>92</v>
      </c>
      <c r="I12" s="45" t="s">
        <v>65</v>
      </c>
      <c r="J12" s="47" t="s">
        <v>89</v>
      </c>
      <c r="K12" s="45" t="s">
        <v>58</v>
      </c>
      <c r="L12" s="48" t="n">
        <v>46208</v>
      </c>
      <c r="M12" s="48" t="n">
        <v>46182</v>
      </c>
      <c r="N12" s="47" t="s">
        <v>89</v>
      </c>
      <c r="O12" s="46"/>
      <c r="P12" s="45" t="s">
        <v>56</v>
      </c>
      <c r="Q12" s="45" t="str">
        <f aca="true">IF(I12="معتمد ونافذ","مكتمل",IF(L12="","غير محدد",IF(TODAY()&gt;L12,"متأخر","ضمن الخطة")))</f>
        <v>ضمن الخطة</v>
      </c>
    </row>
    <row r="13" customFormat="false" ht="21.75" hidden="false" customHeight="true" outlineLevel="0" collapsed="false">
      <c r="A13" s="41" t="n">
        <v>11</v>
      </c>
      <c r="B13" s="42" t="s">
        <v>118</v>
      </c>
      <c r="C13" s="41" t="s">
        <v>73</v>
      </c>
      <c r="D13" s="43" t="s">
        <v>85</v>
      </c>
      <c r="E13" s="44" t="n">
        <v>46092</v>
      </c>
      <c r="F13" s="41" t="n">
        <v>2</v>
      </c>
      <c r="G13" s="44" t="n">
        <v>46101</v>
      </c>
      <c r="H13" s="41" t="n">
        <f aca="true">IF(G13="","",IF(I13="معتمد ونافذ","",TODAY()-G13))</f>
        <v>90</v>
      </c>
      <c r="I13" s="41" t="s">
        <v>71</v>
      </c>
      <c r="J13" s="43" t="s">
        <v>6</v>
      </c>
      <c r="K13" s="41" t="s">
        <v>51</v>
      </c>
      <c r="L13" s="44" t="n">
        <v>46201</v>
      </c>
      <c r="M13" s="44" t="n">
        <v>46177</v>
      </c>
      <c r="N13" s="43" t="s">
        <v>6</v>
      </c>
      <c r="O13" s="42"/>
      <c r="P13" s="41" t="s">
        <v>56</v>
      </c>
      <c r="Q13" s="41" t="str">
        <f aca="true">IF(I13="معتمد ونافذ","مكتمل",IF(L13="","غير محدد",IF(TODAY()&gt;L13,"متأخر","ضمن الخطة")))</f>
        <v>ضمن الخطة</v>
      </c>
    </row>
    <row r="14" customFormat="false" ht="21.75" hidden="false" customHeight="true" outlineLevel="0" collapsed="false">
      <c r="A14" s="45" t="n">
        <v>12</v>
      </c>
      <c r="B14" s="46" t="s">
        <v>119</v>
      </c>
      <c r="C14" s="45" t="s">
        <v>73</v>
      </c>
      <c r="D14" s="47" t="s">
        <v>78</v>
      </c>
      <c r="E14" s="48" t="n">
        <v>46113</v>
      </c>
      <c r="F14" s="45" t="n">
        <v>1</v>
      </c>
      <c r="G14" s="48" t="n">
        <v>46120</v>
      </c>
      <c r="H14" s="49" t="n">
        <f aca="true">IF(G14="","",IF(I14="معتمد ونافذ","",TODAY()-G14))</f>
        <v>71</v>
      </c>
      <c r="I14" s="45" t="s">
        <v>57</v>
      </c>
      <c r="J14" s="47" t="s">
        <v>78</v>
      </c>
      <c r="K14" s="45" t="s">
        <v>51</v>
      </c>
      <c r="L14" s="48" t="n">
        <v>46213</v>
      </c>
      <c r="M14" s="48" t="n">
        <v>46172</v>
      </c>
      <c r="N14" s="47" t="s">
        <v>78</v>
      </c>
      <c r="O14" s="46"/>
      <c r="P14" s="45" t="s">
        <v>56</v>
      </c>
      <c r="Q14" s="45" t="str">
        <f aca="true">IF(I14="معتمد ونافذ","مكتمل",IF(L14="","غير محدد",IF(TODAY()&gt;L14,"متأخر","ضمن الخطة")))</f>
        <v>ضمن الخطة</v>
      </c>
    </row>
    <row r="15" customFormat="false" ht="21.75" hidden="false" customHeight="true" outlineLevel="0" collapsed="false">
      <c r="A15" s="41" t="n">
        <v>13</v>
      </c>
      <c r="B15" s="42" t="s">
        <v>120</v>
      </c>
      <c r="C15" s="41" t="s">
        <v>73</v>
      </c>
      <c r="D15" s="43" t="s">
        <v>85</v>
      </c>
      <c r="E15" s="44" t="n">
        <v>46160</v>
      </c>
      <c r="F15" s="41" t="n">
        <v>0</v>
      </c>
      <c r="G15" s="44"/>
      <c r="H15" s="41" t="str">
        <f aca="true">IF(G15="","",IF(I15="معتمد ونافذ","",TODAY()-G15))</f>
        <v/>
      </c>
      <c r="I15" s="41" t="s">
        <v>50</v>
      </c>
      <c r="J15" s="43" t="s">
        <v>6</v>
      </c>
      <c r="K15" s="41" t="s">
        <v>58</v>
      </c>
      <c r="L15" s="44" t="n">
        <v>46228</v>
      </c>
      <c r="M15" s="44" t="n">
        <v>46160</v>
      </c>
      <c r="N15" s="43" t="s">
        <v>6</v>
      </c>
      <c r="O15" s="42"/>
      <c r="P15" s="41" t="s">
        <v>56</v>
      </c>
      <c r="Q15" s="41" t="str">
        <f aca="true">IF(I15="معتمد ونافذ","مكتمل",IF(L15="","غير محدد",IF(TODAY()&gt;L15,"متأخر","ضمن الخطة")))</f>
        <v>ضمن الخطة</v>
      </c>
    </row>
    <row r="16" customFormat="false" ht="21.75" hidden="false" customHeight="true" outlineLevel="0" collapsed="false">
      <c r="A16" s="45" t="n">
        <v>14</v>
      </c>
      <c r="B16" s="46" t="s">
        <v>121</v>
      </c>
      <c r="C16" s="45" t="s">
        <v>73</v>
      </c>
      <c r="D16" s="47" t="s">
        <v>85</v>
      </c>
      <c r="E16" s="48" t="n">
        <v>46127</v>
      </c>
      <c r="F16" s="45" t="n">
        <v>1</v>
      </c>
      <c r="G16" s="48" t="n">
        <v>46134</v>
      </c>
      <c r="H16" s="49" t="n">
        <f aca="true">IF(G16="","",IF(I16="معتمد ونافذ","",TODAY()-G16))</f>
        <v>57</v>
      </c>
      <c r="I16" s="45" t="s">
        <v>57</v>
      </c>
      <c r="J16" s="47" t="s">
        <v>85</v>
      </c>
      <c r="K16" s="45" t="s">
        <v>58</v>
      </c>
      <c r="L16" s="48" t="n">
        <v>46215</v>
      </c>
      <c r="M16" s="48" t="n">
        <v>46171</v>
      </c>
      <c r="N16" s="47" t="s">
        <v>85</v>
      </c>
      <c r="O16" s="46"/>
      <c r="P16" s="45" t="s">
        <v>56</v>
      </c>
      <c r="Q16" s="45" t="str">
        <f aca="true">IF(I16="معتمد ونافذ","مكتمل",IF(L16="","غير محدد",IF(TODAY()&gt;L16,"متأخر","ضمن الخطة")))</f>
        <v>ضمن الخطة</v>
      </c>
    </row>
    <row r="17" customFormat="false" ht="21.75" hidden="false" customHeight="true" outlineLevel="0" collapsed="false">
      <c r="A17" s="41" t="n">
        <v>15</v>
      </c>
      <c r="B17" s="42" t="s">
        <v>122</v>
      </c>
      <c r="C17" s="41" t="s">
        <v>60</v>
      </c>
      <c r="D17" s="43" t="s">
        <v>83</v>
      </c>
      <c r="E17" s="44" t="n">
        <v>46114</v>
      </c>
      <c r="F17" s="41" t="n">
        <v>1</v>
      </c>
      <c r="G17" s="44" t="n">
        <v>46124</v>
      </c>
      <c r="H17" s="41" t="n">
        <f aca="true">IF(G17="","",IF(I17="معتمد ونافذ","",TODAY()-G17))</f>
        <v>67</v>
      </c>
      <c r="I17" s="41" t="s">
        <v>57</v>
      </c>
      <c r="J17" s="43" t="s">
        <v>83</v>
      </c>
      <c r="K17" s="41" t="s">
        <v>51</v>
      </c>
      <c r="L17" s="44" t="n">
        <v>46211</v>
      </c>
      <c r="M17" s="44" t="n">
        <v>46176</v>
      </c>
      <c r="N17" s="43" t="s">
        <v>83</v>
      </c>
      <c r="O17" s="42"/>
      <c r="P17" s="41" t="s">
        <v>56</v>
      </c>
      <c r="Q17" s="41" t="str">
        <f aca="true">IF(I17="معتمد ونافذ","مكتمل",IF(L17="","غير محدد",IF(TODAY()&gt;L17,"متأخر","ضمن الخطة")))</f>
        <v>ضمن الخطة</v>
      </c>
    </row>
    <row r="18" customFormat="false" ht="21.75" hidden="false" customHeight="true" outlineLevel="0" collapsed="false">
      <c r="A18" s="45" t="n">
        <v>16</v>
      </c>
      <c r="B18" s="46" t="s">
        <v>123</v>
      </c>
      <c r="C18" s="45" t="s">
        <v>68</v>
      </c>
      <c r="D18" s="47" t="s">
        <v>87</v>
      </c>
      <c r="E18" s="48" t="n">
        <v>46164</v>
      </c>
      <c r="F18" s="45" t="n">
        <v>0</v>
      </c>
      <c r="G18" s="48"/>
      <c r="H18" s="49" t="str">
        <f aca="true">IF(G18="","",IF(I18="معتمد ونافذ","",TODAY()-G18))</f>
        <v/>
      </c>
      <c r="I18" s="45" t="s">
        <v>50</v>
      </c>
      <c r="J18" s="47" t="s">
        <v>87</v>
      </c>
      <c r="K18" s="45" t="s">
        <v>58</v>
      </c>
      <c r="L18" s="48" t="n">
        <v>46235</v>
      </c>
      <c r="M18" s="48" t="n">
        <v>46164</v>
      </c>
      <c r="N18" s="47" t="s">
        <v>87</v>
      </c>
      <c r="O18" s="46"/>
      <c r="P18" s="45" t="s">
        <v>56</v>
      </c>
      <c r="Q18" s="45" t="str">
        <f aca="true">IF(I18="معتمد ونافذ","مكتمل",IF(L18="","غير محدد",IF(TODAY()&gt;L18,"متأخر","ضمن الخطة")))</f>
        <v>ضمن الخطة</v>
      </c>
    </row>
    <row r="19" customFormat="false" ht="21.75" hidden="false" customHeight="true" outlineLevel="0" collapsed="false">
      <c r="A19" s="41" t="n">
        <v>17</v>
      </c>
      <c r="B19" s="42" t="s">
        <v>124</v>
      </c>
      <c r="C19" s="41" t="s">
        <v>60</v>
      </c>
      <c r="D19" s="43" t="s">
        <v>75</v>
      </c>
      <c r="E19" s="44" t="n">
        <v>46096</v>
      </c>
      <c r="F19" s="41" t="n">
        <v>2</v>
      </c>
      <c r="G19" s="44" t="n">
        <v>46106</v>
      </c>
      <c r="H19" s="41" t="n">
        <f aca="true">IF(G19="","",IF(I19="معتمد ونافذ","",TODAY()-G19))</f>
        <v>85</v>
      </c>
      <c r="I19" s="41" t="s">
        <v>57</v>
      </c>
      <c r="J19" s="43" t="s">
        <v>75</v>
      </c>
      <c r="K19" s="41" t="s">
        <v>51</v>
      </c>
      <c r="L19" s="44" t="n">
        <v>46244</v>
      </c>
      <c r="M19" s="44" t="n">
        <v>46180</v>
      </c>
      <c r="N19" s="43" t="s">
        <v>75</v>
      </c>
      <c r="O19" s="42" t="s">
        <v>125</v>
      </c>
      <c r="P19" s="41" t="s">
        <v>56</v>
      </c>
      <c r="Q19" s="41" t="str">
        <f aca="true">IF(I19="معتمد ونافذ","مكتمل",IF(L19="","غير محدد",IF(TODAY()&gt;L19,"متأخر","ضمن الخطة")))</f>
        <v>ضمن الخطة</v>
      </c>
    </row>
    <row r="20" customFormat="false" ht="21.75" hidden="false" customHeight="true" outlineLevel="0" collapsed="false">
      <c r="A20" s="45" t="n">
        <v>18</v>
      </c>
      <c r="B20" s="46" t="s">
        <v>126</v>
      </c>
      <c r="C20" s="45" t="s">
        <v>73</v>
      </c>
      <c r="D20" s="47" t="s">
        <v>85</v>
      </c>
      <c r="E20" s="48" t="n">
        <v>46117</v>
      </c>
      <c r="F20" s="45" t="n">
        <v>1</v>
      </c>
      <c r="G20" s="48" t="n">
        <v>46127</v>
      </c>
      <c r="H20" s="49" t="n">
        <f aca="true">IF(G20="","",IF(I20="معتمد ونافذ","",TODAY()-G20))</f>
        <v>64</v>
      </c>
      <c r="I20" s="45" t="s">
        <v>65</v>
      </c>
      <c r="J20" s="47" t="s">
        <v>89</v>
      </c>
      <c r="K20" s="45" t="s">
        <v>58</v>
      </c>
      <c r="L20" s="48" t="n">
        <v>46221</v>
      </c>
      <c r="M20" s="48" t="n">
        <v>46179</v>
      </c>
      <c r="N20" s="47" t="s">
        <v>89</v>
      </c>
      <c r="O20" s="46"/>
      <c r="P20" s="45" t="s">
        <v>56</v>
      </c>
      <c r="Q20" s="45" t="str">
        <f aca="true">IF(I20="معتمد ونافذ","مكتمل",IF(L20="","غير محدد",IF(TODAY()&gt;L20,"متأخر","ضمن الخطة")))</f>
        <v>ضمن الخطة</v>
      </c>
    </row>
    <row r="21" customFormat="false" ht="21.75" hidden="false" customHeight="true" outlineLevel="0" collapsed="false">
      <c r="A21" s="41" t="n">
        <v>19</v>
      </c>
      <c r="B21" s="42" t="s">
        <v>127</v>
      </c>
      <c r="C21" s="41" t="s">
        <v>73</v>
      </c>
      <c r="D21" s="43" t="s">
        <v>84</v>
      </c>
      <c r="E21" s="44" t="n">
        <v>46132</v>
      </c>
      <c r="F21" s="41" t="n">
        <v>1</v>
      </c>
      <c r="G21" s="44" t="n">
        <v>46140</v>
      </c>
      <c r="H21" s="41" t="n">
        <f aca="true">IF(G21="","",IF(I21="معتمد ونافذ","",TODAY()-G21))</f>
        <v>51</v>
      </c>
      <c r="I21" s="41" t="s">
        <v>57</v>
      </c>
      <c r="J21" s="43" t="s">
        <v>84</v>
      </c>
      <c r="K21" s="41" t="s">
        <v>58</v>
      </c>
      <c r="L21" s="44" t="n">
        <v>46225</v>
      </c>
      <c r="M21" s="44" t="n">
        <v>46169</v>
      </c>
      <c r="N21" s="43" t="s">
        <v>84</v>
      </c>
      <c r="O21" s="42"/>
      <c r="P21" s="41" t="s">
        <v>56</v>
      </c>
      <c r="Q21" s="41" t="str">
        <f aca="true">IF(I21="معتمد ونافذ","مكتمل",IF(L21="","غير محدد",IF(TODAY()&gt;L21,"متأخر","ضمن الخطة")))</f>
        <v>ضمن الخطة</v>
      </c>
    </row>
    <row r="22" customFormat="false" ht="21.75" hidden="false" customHeight="true" outlineLevel="0" collapsed="false">
      <c r="A22" s="45" t="n">
        <v>20</v>
      </c>
      <c r="B22" s="46" t="s">
        <v>128</v>
      </c>
      <c r="C22" s="45" t="s">
        <v>60</v>
      </c>
      <c r="D22" s="47" t="s">
        <v>83</v>
      </c>
      <c r="E22" s="48" t="n">
        <v>46168</v>
      </c>
      <c r="F22" s="45" t="n">
        <v>0</v>
      </c>
      <c r="G22" s="48"/>
      <c r="H22" s="49" t="str">
        <f aca="true">IF(G22="","",IF(I22="معتمد ونافذ","",TODAY()-G22))</f>
        <v/>
      </c>
      <c r="I22" s="45" t="s">
        <v>50</v>
      </c>
      <c r="J22" s="47" t="s">
        <v>83</v>
      </c>
      <c r="K22" s="45" t="s">
        <v>58</v>
      </c>
      <c r="L22" s="48" t="n">
        <v>46239</v>
      </c>
      <c r="M22" s="48" t="n">
        <v>46168</v>
      </c>
      <c r="N22" s="47" t="s">
        <v>83</v>
      </c>
      <c r="O22" s="46"/>
      <c r="P22" s="45" t="s">
        <v>56</v>
      </c>
      <c r="Q22" s="45" t="str">
        <f aca="true">IF(I22="معتمد ونافذ","مكتمل",IF(L22="","غير محدد",IF(TODAY()&gt;L22,"متأخر","ضمن الخطة")))</f>
        <v>ضمن الخطة</v>
      </c>
    </row>
    <row r="23" customFormat="false" ht="21.75" hidden="false" customHeight="true" outlineLevel="0" collapsed="false">
      <c r="A23" s="41" t="n">
        <v>21</v>
      </c>
      <c r="B23" s="42" t="s">
        <v>129</v>
      </c>
      <c r="C23" s="41" t="s">
        <v>60</v>
      </c>
      <c r="D23" s="43" t="s">
        <v>78</v>
      </c>
      <c r="E23" s="44" t="n">
        <v>46169</v>
      </c>
      <c r="F23" s="41" t="n">
        <v>0</v>
      </c>
      <c r="G23" s="44"/>
      <c r="H23" s="41" t="str">
        <f aca="true">IF(G23="","",IF(I23="معتمد ونافذ","",TODAY()-G23))</f>
        <v/>
      </c>
      <c r="I23" s="41" t="s">
        <v>50</v>
      </c>
      <c r="J23" s="43" t="s">
        <v>78</v>
      </c>
      <c r="K23" s="41" t="s">
        <v>66</v>
      </c>
      <c r="L23" s="44" t="n">
        <v>46242</v>
      </c>
      <c r="M23" s="44" t="n">
        <v>46169</v>
      </c>
      <c r="N23" s="43" t="s">
        <v>78</v>
      </c>
      <c r="O23" s="42"/>
      <c r="P23" s="41" t="s">
        <v>56</v>
      </c>
      <c r="Q23" s="41" t="str">
        <f aca="true">IF(I23="معتمد ونافذ","مكتمل",IF(L23="","غير محدد",IF(TODAY()&gt;L23,"متأخر","ضمن الخطة")))</f>
        <v>ضمن الخطة</v>
      </c>
    </row>
    <row r="24" customFormat="false" ht="21.75" hidden="false" customHeight="true" outlineLevel="0" collapsed="false">
      <c r="A24" s="45" t="n">
        <v>22</v>
      </c>
      <c r="B24" s="46" t="s">
        <v>130</v>
      </c>
      <c r="C24" s="45" t="s">
        <v>60</v>
      </c>
      <c r="D24" s="47" t="s">
        <v>75</v>
      </c>
      <c r="E24" s="48" t="n">
        <v>46122</v>
      </c>
      <c r="F24" s="45" t="n">
        <v>1</v>
      </c>
      <c r="G24" s="48" t="n">
        <v>46132</v>
      </c>
      <c r="H24" s="49" t="n">
        <f aca="true">IF(G24="","",IF(I24="معتمد ونافذ","",TODAY()-G24))</f>
        <v>59</v>
      </c>
      <c r="I24" s="45" t="s">
        <v>57</v>
      </c>
      <c r="J24" s="47" t="s">
        <v>75</v>
      </c>
      <c r="K24" s="45" t="s">
        <v>51</v>
      </c>
      <c r="L24" s="48" t="n">
        <v>46246</v>
      </c>
      <c r="M24" s="48" t="n">
        <v>46174</v>
      </c>
      <c r="N24" s="47" t="s">
        <v>75</v>
      </c>
      <c r="O24" s="46"/>
      <c r="P24" s="45" t="s">
        <v>56</v>
      </c>
      <c r="Q24" s="45" t="str">
        <f aca="true">IF(I24="معتمد ونافذ","مكتمل",IF(L24="","غير محدد",IF(TODAY()&gt;L24,"متأخر","ضمن الخطة")))</f>
        <v>ضمن الخطة</v>
      </c>
    </row>
  </sheetData>
  <mergeCells count="1">
    <mergeCell ref="A1:Q1"/>
  </mergeCells>
  <conditionalFormatting sqref="I3:I1000">
    <cfRule type="cellIs" priority="2" operator="equal" aboveAverage="0" equalAverage="0" bottom="0" percent="0" rank="0" text="" dxfId="23">
      <formula>"مستلم"</formula>
    </cfRule>
    <cfRule type="cellIs" priority="3" operator="equal" aboveAverage="0" equalAverage="0" bottom="0" percent="0" rank="0" text="" dxfId="24">
      <formula>"مراجعة المختصين"</formula>
    </cfRule>
    <cfRule type="cellIs" priority="4" operator="equal" aboveAverage="0" equalAverage="0" bottom="0" percent="0" rank="0" text="" dxfId="25">
      <formula>"التعديل لدى الحلول القانونية"</formula>
    </cfRule>
    <cfRule type="cellIs" priority="5" operator="equal" aboveAverage="0" equalAverage="0" bottom="0" percent="0" rank="0" text="" dxfId="26">
      <formula>"مراجعة لجنة الحوكمة"</formula>
    </cfRule>
    <cfRule type="cellIs" priority="6" operator="equal" aboveAverage="0" equalAverage="0" bottom="0" percent="0" rank="0" text="" dxfId="27">
      <formula>"مراجعة لجنة الترشيحات والمكافآت"</formula>
    </cfRule>
    <cfRule type="cellIs" priority="7" operator="equal" aboveAverage="0" equalAverage="0" bottom="0" percent="0" rank="0" text="" dxfId="28">
      <formula>"اعتماد مجلس الإدارة"</formula>
    </cfRule>
    <cfRule type="cellIs" priority="8" operator="equal" aboveAverage="0" equalAverage="0" bottom="0" percent="0" rank="0" text="" dxfId="29">
      <formula>"معتمد ونافذ"</formula>
    </cfRule>
  </conditionalFormatting>
  <conditionalFormatting sqref="H3:H1000">
    <cfRule type="cellIs" priority="9" operator="greaterThan" aboveAverage="0" equalAverage="0" bottom="0" percent="0" rank="0" text="" dxfId="30">
      <formula>30</formula>
    </cfRule>
    <cfRule type="cellIs" priority="10" operator="greaterThan" aboveAverage="0" equalAverage="0" bottom="0" percent="0" rank="0" text="" dxfId="31">
      <formula>14</formula>
    </cfRule>
  </conditionalFormatting>
  <conditionalFormatting sqref="Q3:Q1000">
    <cfRule type="cellIs" priority="11" operator="equal" aboveAverage="0" equalAverage="0" bottom="0" percent="0" rank="0" text="" dxfId="30">
      <formula>"متأخر"</formula>
    </cfRule>
    <cfRule type="cellIs" priority="12" operator="equal" aboveAverage="0" equalAverage="0" bottom="0" percent="0" rank="0" text="" dxfId="28">
      <formula>"مكتمل"</formula>
    </cfRule>
    <cfRule type="cellIs" priority="13" operator="equal" aboveAverage="0" equalAverage="0" bottom="0" percent="0" rank="0" text="" dxfId="32">
      <formula>"ضمن الخطة"</formula>
    </cfRule>
  </conditionalFormatting>
  <conditionalFormatting sqref="P3:P1000">
    <cfRule type="cellIs" priority="14" operator="equal" aboveAverage="0" equalAverage="0" bottom="0" percent="0" rank="0" text="" dxfId="30">
      <formula>"خارج النطاق"</formula>
    </cfRule>
    <cfRule type="cellIs" priority="15" operator="equal" aboveAverage="0" equalAverage="0" bottom="0" percent="0" rank="0" text="" dxfId="33">
      <formula>"ضمن النطاق"</formula>
    </cfRule>
  </conditionalFormatting>
  <conditionalFormatting sqref="K3:K1000">
    <cfRule type="cellIs" priority="16" operator="equal" aboveAverage="0" equalAverage="0" bottom="0" percent="0" rank="0" text="" dxfId="30">
      <formula>"عالية"</formula>
    </cfRule>
    <cfRule type="cellIs" priority="17" operator="equal" aboveAverage="0" equalAverage="0" bottom="0" percent="0" rank="0" text="" dxfId="34">
      <formula>"متوسطة"</formula>
    </cfRule>
    <cfRule type="cellIs" priority="18" operator="equal" aboveAverage="0" equalAverage="0" bottom="0" percent="0" rank="0" text="" dxfId="33">
      <formula>"منخفضة"</formula>
    </cfRule>
  </conditionalFormatting>
  <dataValidations count="7">
    <dataValidation allowBlank="true" errorStyle="stop" operator="between" showDropDown="false" showErrorMessage="false" showInputMessage="false" sqref="C3:C1000" type="list">
      <formula1>'Lookup Lists'!$D$5:$D$8</formula1>
      <formula2>0</formula2>
    </dataValidation>
    <dataValidation allowBlank="true" errorStyle="stop" operator="between" showDropDown="false" showErrorMessage="false" showInputMessage="false" sqref="D3:D1000" type="list">
      <formula1>'Lookup Lists'!$C$5:$C$21</formula1>
      <formula2>0</formula2>
    </dataValidation>
    <dataValidation allowBlank="true" errorStyle="stop" operator="between" showDropDown="false" showErrorMessage="false" showInputMessage="false" sqref="I3:I1000" type="list">
      <formula1>'Lookup Lists'!$A$5:$A$11</formula1>
      <formula2>0</formula2>
    </dataValidation>
    <dataValidation allowBlank="true" errorStyle="stop" operator="between" showDropDown="false" showErrorMessage="false" showInputMessage="false" sqref="J3:J1000" type="list">
      <formula1>'Lookup Lists'!$C$5:$C$21</formula1>
      <formula2>0</formula2>
    </dataValidation>
    <dataValidation allowBlank="true" errorStyle="stop" operator="between" showDropDown="false" showErrorMessage="false" showInputMessage="false" sqref="K3:K1000" type="list">
      <formula1>'Lookup Lists'!$B$5:$B$7</formula1>
      <formula2>0</formula2>
    </dataValidation>
    <dataValidation allowBlank="true" errorStyle="stop" operator="between" showDropDown="false" showErrorMessage="false" showInputMessage="false" sqref="N3:N1000" type="list">
      <formula1>'Lookup Lists'!$C$5:$C$21</formula1>
      <formula2>0</formula2>
    </dataValidation>
    <dataValidation allowBlank="true" errorStyle="stop" operator="between" showDropDown="false" showErrorMessage="false" showInputMessage="false" sqref="P3:P1000" type="list">
      <formula1>'Lookup Lists'!$K$5:$K$6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&amp;Cإعداد شركة أمين للذكاء الاصطناعي — مقدَّم إلى شركة العطيشان القابضة&amp;Rرئيس اللجنة التوجيهية: محمد البوعلي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A2A"/>
    <pageSetUpPr fitToPage="true"/>
  </sheetPr>
  <dimension ref="A1:I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6" min="5" style="0" width="3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30" hidden="false" customHeight="true" outlineLevel="0" collapsed="false">
      <c r="A1" s="39" t="s">
        <v>131</v>
      </c>
      <c r="B1" s="39"/>
      <c r="C1" s="39"/>
      <c r="D1" s="39"/>
      <c r="E1" s="39"/>
      <c r="F1" s="39"/>
      <c r="G1" s="39"/>
      <c r="H1" s="39"/>
      <c r="I1" s="39"/>
    </row>
    <row r="2" customFormat="false" ht="37.5" hidden="false" customHeight="true" outlineLevel="0" collapsed="false">
      <c r="A2" s="40" t="s">
        <v>132</v>
      </c>
      <c r="B2" s="40" t="s">
        <v>133</v>
      </c>
      <c r="C2" s="40" t="s">
        <v>134</v>
      </c>
      <c r="D2" s="40" t="s">
        <v>135</v>
      </c>
      <c r="E2" s="40" t="s">
        <v>136</v>
      </c>
      <c r="F2" s="40" t="s">
        <v>137</v>
      </c>
      <c r="G2" s="40" t="s">
        <v>138</v>
      </c>
      <c r="H2" s="40" t="s">
        <v>139</v>
      </c>
      <c r="I2" s="40" t="s">
        <v>28</v>
      </c>
    </row>
    <row r="3" customFormat="false" ht="30" hidden="false" customHeight="true" outlineLevel="0" collapsed="false">
      <c r="A3" s="41" t="n">
        <v>1</v>
      </c>
      <c r="B3" s="44" t="n">
        <v>46063</v>
      </c>
      <c r="C3" s="41" t="n">
        <v>7</v>
      </c>
      <c r="D3" s="41" t="n">
        <v>1</v>
      </c>
      <c r="E3" s="42" t="s">
        <v>140</v>
      </c>
      <c r="F3" s="42" t="s">
        <v>141</v>
      </c>
      <c r="G3" s="41" t="s">
        <v>6</v>
      </c>
      <c r="H3" s="44" t="n">
        <v>46082</v>
      </c>
      <c r="I3" s="41" t="s">
        <v>61</v>
      </c>
    </row>
    <row r="4" customFormat="false" ht="30" hidden="false" customHeight="true" outlineLevel="0" collapsed="false">
      <c r="A4" s="41" t="n">
        <v>2</v>
      </c>
      <c r="B4" s="44" t="n">
        <v>46099</v>
      </c>
      <c r="C4" s="41" t="n">
        <v>6</v>
      </c>
      <c r="D4" s="41" t="n">
        <v>2</v>
      </c>
      <c r="E4" s="42" t="s">
        <v>142</v>
      </c>
      <c r="F4" s="42" t="s">
        <v>143</v>
      </c>
      <c r="G4" s="41" t="s">
        <v>85</v>
      </c>
      <c r="H4" s="44" t="n">
        <v>46143</v>
      </c>
      <c r="I4" s="41" t="s">
        <v>61</v>
      </c>
    </row>
    <row r="5" customFormat="false" ht="30" hidden="false" customHeight="true" outlineLevel="0" collapsed="false">
      <c r="A5" s="41" t="n">
        <v>3</v>
      </c>
      <c r="B5" s="44" t="n">
        <v>46154</v>
      </c>
      <c r="C5" s="41" t="n">
        <v>7</v>
      </c>
      <c r="D5" s="41" t="n">
        <v>1</v>
      </c>
      <c r="E5" s="42" t="s">
        <v>144</v>
      </c>
      <c r="F5" s="42" t="s">
        <v>145</v>
      </c>
      <c r="G5" s="41" t="s">
        <v>78</v>
      </c>
      <c r="H5" s="44" t="n">
        <v>46198</v>
      </c>
      <c r="I5" s="41" t="s">
        <v>54</v>
      </c>
    </row>
    <row r="6" customFormat="false" ht="30" hidden="false" customHeight="true" outlineLevel="0" collapsed="false">
      <c r="A6" s="41" t="n">
        <v>4</v>
      </c>
      <c r="B6" s="44" t="n">
        <v>46182</v>
      </c>
      <c r="C6" s="41" t="n">
        <v>6</v>
      </c>
      <c r="D6" s="41" t="n">
        <v>2</v>
      </c>
      <c r="E6" s="42" t="s">
        <v>146</v>
      </c>
      <c r="F6" s="42" t="s">
        <v>147</v>
      </c>
      <c r="G6" s="41" t="s">
        <v>81</v>
      </c>
      <c r="H6" s="44" t="n">
        <v>46203</v>
      </c>
      <c r="I6" s="41" t="s">
        <v>54</v>
      </c>
    </row>
  </sheetData>
  <mergeCells count="1">
    <mergeCell ref="A1:I1"/>
  </mergeCells>
  <conditionalFormatting sqref="I3:I1000">
    <cfRule type="cellIs" priority="2" operator="equal" aboveAverage="0" equalAverage="0" bottom="0" percent="0" rank="0" text="" dxfId="34">
      <formula>"مفتوح"</formula>
    </cfRule>
    <cfRule type="cellIs" priority="3" operator="equal" aboveAverage="0" equalAverage="0" bottom="0" percent="0" rank="0" text="" dxfId="30">
      <formula>"متأخر"</formula>
    </cfRule>
    <cfRule type="cellIs" priority="4" operator="equal" aboveAverage="0" equalAverage="0" bottom="0" percent="0" rank="0" text="" dxfId="33">
      <formula>"مغلق"</formula>
    </cfRule>
  </conditionalFormatting>
  <dataValidations count="2">
    <dataValidation allowBlank="true" errorStyle="stop" operator="between" showDropDown="false" showErrorMessage="false" showInputMessage="false" sqref="I3:I1000" type="list">
      <formula1>'Lookup Lists'!$E$5:$E$7</formula1>
      <formula2>0</formula2>
    </dataValidation>
    <dataValidation allowBlank="true" errorStyle="stop" operator="between" showDropDown="false" showErrorMessage="false" showInputMessage="false" sqref="G3:G1000" type="list">
      <formula1>'Lookup Lists'!$C$5:$C$21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&amp;Cإعداد شركة أمين للذكاء الاصطناعي — مقدَّم إلى شركة العطيشان القابضة&amp;Rرئيس اللجنة التوجيهية: محمد البوعلي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0" t="s">
        <v>28</v>
      </c>
      <c r="B1" s="50" t="s">
        <v>148</v>
      </c>
      <c r="D1" s="50" t="s">
        <v>149</v>
      </c>
      <c r="E1" s="50" t="s">
        <v>148</v>
      </c>
      <c r="G1" s="50" t="s">
        <v>62</v>
      </c>
      <c r="H1" s="50" t="s">
        <v>148</v>
      </c>
      <c r="J1" s="50" t="s">
        <v>76</v>
      </c>
      <c r="K1" s="50" t="s">
        <v>148</v>
      </c>
      <c r="M1" s="50" t="s">
        <v>150</v>
      </c>
      <c r="N1" s="50" t="s">
        <v>148</v>
      </c>
      <c r="Q1" s="50" t="s">
        <v>17</v>
      </c>
      <c r="R1" s="50" t="s">
        <v>18</v>
      </c>
      <c r="S1" s="50" t="s">
        <v>151</v>
      </c>
      <c r="T1" s="50" t="s">
        <v>152</v>
      </c>
      <c r="AA1" s="50" t="str">
        <f aca="false">"التوزيع حسب "&amp;Dashboard!$E$25&amp;IF(Dashboard!$I$25="الكل",""," | التصنيف: "&amp;Dashboard!$I$25)&amp;IF(Dashboard!$M$25="الكل",""," | الأولوية: "&amp;Dashboard!$M$25)</f>
        <v>التوزيع حسب الحالة</v>
      </c>
      <c r="AB1" s="50" t="s">
        <v>153</v>
      </c>
      <c r="AC1" s="50" t="s">
        <v>148</v>
      </c>
    </row>
    <row r="2" customFormat="false" ht="15" hidden="false" customHeight="false" outlineLevel="0" collapsed="false">
      <c r="A2" s="50" t="s">
        <v>50</v>
      </c>
      <c r="B2" s="50" t="n">
        <f aca="false">COUNTIF(tblDeliverables[الحالة الحالية],"مستلم")</f>
        <v>6</v>
      </c>
      <c r="D2" s="50" t="s">
        <v>52</v>
      </c>
      <c r="E2" s="50" t="n">
        <f aca="false">COUNTIF(tblDeliverables[المختص / الجهة المراجعة],"الملاك")</f>
        <v>0</v>
      </c>
      <c r="G2" s="50" t="s">
        <v>51</v>
      </c>
      <c r="H2" s="50" t="n">
        <f aca="false">COUNTIF(tblDeliverables[الأولوية],"عالية")</f>
        <v>10</v>
      </c>
      <c r="J2" s="50" t="s">
        <v>55</v>
      </c>
      <c r="K2" s="50" t="n">
        <f aca="false">COUNTIF(tblDeliverables[مؤشر الالتزام الزمني],"متأخر")</f>
        <v>1</v>
      </c>
      <c r="M2" s="50" t="s">
        <v>79</v>
      </c>
      <c r="N2" s="50" t="n">
        <f aca="false">COUNTIF(tblDeliverables[الحالة الحالية],"معتمد ونافذ")</f>
        <v>1</v>
      </c>
      <c r="AB2" s="50" t="str">
        <f aca="false">IFERROR(IF(Dashboard!$E$25="الحالة",INDEX('Lookup Lists'!$A$5:$A$11,1),IF(Dashboard!$E$25="الأولوية",IF(1&lt;=3,INDEX('Lookup Lists'!$B$5:$B$7,1),""),IF(Dashboard!$E$25="التصنيف",IF(1&lt;=4,INDEX('Lookup Lists'!$D$5:$D$8,1),""),IF(Dashboard!$E$25="النطاق",IF(1&lt;=2,INDEX('Lookup Lists'!$K$5:$K$6,1),""),IF(Dashboard!$E$25="الالتزام الزمني",IF(1&lt;=3,INDEX('Lookup Lists'!$J$5:$J$7,1),""),""))))),"")</f>
        <v>مستلم</v>
      </c>
      <c r="AC2" s="50" t="n">
        <f aca="false">IF($AB$2="",NA(),IF(Dashboard!$E$25="الحالة",SUMPRODUCT((tblDeliverables[الحالة الحالية]=$AB$2)*((( Dashboard!$I$25="الكل")+(tblDeliverables[التصنيف]=Dashboard!$I$25))&gt;0)*((( Dashboard!$M$25="الكل")+(tblDeliverables[الأولوية]=Dashboard!$M$25))&gt;0)),IF(Dashboard!$E$25="الأولوية",SUMPRODUCT((tblDeliverables[الأولوية]=$AB$2)*((( Dashboard!$I$25="الكل")+(tblDeliverables[التصنيف]=Dashboard!$I$25))&gt;0)),IF(Dashboard!$E$25="التصنيف",SUMPRODUCT((tblDeliverables[التصنيف]=$AB$2)*((( Dashboard!$M$25="الكل")+(tblDeliverables[الأولوية]=Dashboard!$M$25))&gt;0)),IF(Dashboard!$E$25="النطاق",SUMPRODUCT((tblDeliverables[النطاق]=$AB$2)*(((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الزمني]=$AB$2)*((( Dashboard!$I$25="الكل")+(tblDeliverables[التصنيف]=Dashboard!$I$25))&gt;0)*((( Dashboard!$M$25="الكل")+(tblDeliverables[الأولوية]=Dashboard!$M$25))&gt;0)),NA()))))))</f>
        <v>6</v>
      </c>
    </row>
    <row r="3" customFormat="false" ht="15" hidden="false" customHeight="false" outlineLevel="0" collapsed="false">
      <c r="A3" s="50" t="s">
        <v>57</v>
      </c>
      <c r="B3" s="50" t="n">
        <f aca="false">COUNTIF(tblDeliverables[الحالة الحالية],"مراجعة المختصين")</f>
        <v>8</v>
      </c>
      <c r="D3" s="50" t="s">
        <v>59</v>
      </c>
      <c r="E3" s="50" t="n">
        <f aca="false">COUNTIF(tblDeliverables[المختص / الجهة المراجعة],"مجلس الإدارة")</f>
        <v>2</v>
      </c>
      <c r="G3" s="50" t="s">
        <v>58</v>
      </c>
      <c r="H3" s="50" t="n">
        <f aca="false">COUNTIF(tblDeliverables[الأولوية],"متوسطة")</f>
        <v>10</v>
      </c>
      <c r="J3" s="50" t="s">
        <v>63</v>
      </c>
      <c r="K3" s="50" t="n">
        <f aca="false">COUNTIF(tblDeliverables[مؤشر الالتزام الزمني],"ضمن الخطة")</f>
        <v>20</v>
      </c>
      <c r="M3" s="50" t="s">
        <v>154</v>
      </c>
      <c r="N3" s="50" t="n">
        <f aca="false">COUNTA(tblDeliverables[المخرج])-N2</f>
        <v>21</v>
      </c>
      <c r="Q3" s="50" t="str">
        <f aca="false">IFERROR(IF(INDEX(tblDeliverables[مؤشر الالتزام الزمني],1)="متأخر",INDEX(tblDeliverables[المخرج],1),""),"")</f>
        <v/>
      </c>
      <c r="R3" s="50" t="str">
        <f aca="false">IFERROR(IF(AND(INDEX(tblDeliverables[الأولوية],1)="عالية",INDEX(tblDeliverables[الحالة الحالية],1)&lt;&gt;"معتمد ونافذ",INDEX(tblDeliverables[المخرج],1)&lt;&gt;""),INDEX(tblDeliverables[المخرج],1),""),"")</f>
        <v/>
      </c>
      <c r="S3" s="50" t="str">
        <f aca="false">IFERROR(IF(INDEX(tblMeetings[الحالة],1)="مفتوح",INDEX(tblMeetings[أهم القرارات],1),""),"")</f>
        <v/>
      </c>
      <c r="T3" s="50" t="str">
        <f aca="false">IFERROR(IF(AND(INDEX(tblMeetings[تاريخ الاستحقاق],1)&lt;&gt;"",INDEX(tblMeetings[تاريخ الاستحقاق],1)&gt;=TODAY(),INDEX(tblMeetings[تاريخ الاستحقاق],1)&lt;=TODAY()+14,INDEX(tblMeetings[الحالة],1)&lt;&gt;"مغلق"),INDEX(tblMeetings[الإجراءات المطلوبة],1),""),"")</f>
        <v/>
      </c>
      <c r="V3" s="50" t="str">
        <f aca="false">Q3</f>
        <v/>
      </c>
      <c r="W3" s="50" t="str">
        <f aca="false">R3</f>
        <v/>
      </c>
      <c r="X3" s="50" t="str">
        <f aca="false">S3</f>
        <v/>
      </c>
      <c r="Y3" s="50" t="str">
        <f aca="false">T3</f>
        <v/>
      </c>
      <c r="AB3" s="50" t="str">
        <f aca="false">IFERROR(IF(Dashboard!$E$25="الحالة",INDEX('Lookup Lists'!$A$5:$A$11,2),IF(Dashboard!$E$25="الأولوية",IF(2&lt;=3,INDEX('Lookup Lists'!$B$5:$B$7,2),""),IF(Dashboard!$E$25="التصنيف",IF(2&lt;=4,INDEX('Lookup Lists'!$D$5:$D$8,2),""),IF(Dashboard!$E$25="النطاق",IF(2&lt;=2,INDEX('Lookup Lists'!$K$5:$K$6,2),""),IF(Dashboard!$E$25="الالتزام الزمني",IF(2&lt;=3,INDEX('Lookup Lists'!$J$5:$J$7,2),""),""))))),"")</f>
        <v>مراجعة المختصين</v>
      </c>
      <c r="AC3" s="50" t="n">
        <f aca="false">IF($AB$3="",NA(),IF(Dashboard!$E$25="الحالة",SUMPRODUCT((tblDeliverables[الحالة الحالية]=$AB$3)*((( Dashboard!$I$25="الكل")+(tblDeliverables[التصنيف]=Dashboard!$I$25))&gt;0)*((( Dashboard!$M$25="الكل")+(tblDeliverables[الأولوية]=Dashboard!$M$25))&gt;0)),IF(Dashboard!$E$25="الأولوية",SUMPRODUCT((tblDeliverables[الأولوية]=$AB$3)*((( Dashboard!$I$25="الكل")+(tblDeliverables[التصنيف]=Dashboard!$I$25))&gt;0)),IF(Dashboard!$E$25="التصنيف",SUMPRODUCT((tblDeliverables[التصنيف]=$AB$3)*((( Dashboard!$M$25="الكل")+(tblDeliverables[الأولوية]=Dashboard!$M$25))&gt;0)),IF(Dashboard!$E$25="النطاق",SUMPRODUCT((tblDeliverables[النطاق]=$AB$3)*(((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الزمني]=$AB$3)*((( Dashboard!$I$25="الكل")+(tblDeliverables[التصنيف]=Dashboard!$I$25))&gt;0)*((( Dashboard!$M$25="الكل")+(tblDeliverables[الأولوية]=Dashboard!$M$25))&gt;0)),NA()))))))</f>
        <v>8</v>
      </c>
    </row>
    <row r="4" customFormat="false" ht="15" hidden="false" customHeight="false" outlineLevel="0" collapsed="false">
      <c r="A4" s="50" t="s">
        <v>65</v>
      </c>
      <c r="B4" s="50" t="n">
        <f aca="false">COUNTIF(tblDeliverables[الحالة الحالية],"التعديل لدى الحلول القانونية")</f>
        <v>3</v>
      </c>
      <c r="D4" s="50" t="s">
        <v>67</v>
      </c>
      <c r="E4" s="50" t="n">
        <f aca="false">COUNTIF(tblDeliverables[المختص / الجهة المراجعة],"لجنة المراجعة")</f>
        <v>1</v>
      </c>
      <c r="G4" s="50" t="s">
        <v>66</v>
      </c>
      <c r="H4" s="50" t="n">
        <f aca="false">COUNTIF(tblDeliverables[الأولوية],"منخفضة")</f>
        <v>2</v>
      </c>
      <c r="J4" s="50" t="s">
        <v>70</v>
      </c>
      <c r="K4" s="50" t="n">
        <f aca="false">COUNTIF(tblDeliverables[مؤشر الالتزام الزمني],"مكتمل")</f>
        <v>1</v>
      </c>
      <c r="Q4" s="50" t="str">
        <f aca="false">IFERROR(IF(INDEX(tblDeliverables[مؤشر الالتزام الزمني],2)="متأخر",INDEX(tblDeliverables[المخرج],2),""),"")</f>
        <v/>
      </c>
      <c r="R4" s="50" t="str">
        <f aca="false">IFERROR(IF(AND(INDEX(tblDeliverables[الأولوية],2)="عالية",INDEX(tblDeliverables[الحالة الحالية],2)&lt;&gt;"معتمد ونافذ",INDEX(tblDeliverables[المخرج],2)&lt;&gt;""),INDEX(tblDeliverables[المخرج],2),""),"")</f>
        <v>لائحة مجلس الإدارة</v>
      </c>
      <c r="S4" s="50" t="str">
        <f aca="false">IFERROR(IF(INDEX(tblMeetings[الحالة],2)="مفتوح",INDEX(tblMeetings[أهم القرارات],2),""),"")</f>
        <v/>
      </c>
      <c r="T4" s="50" t="str">
        <f aca="false">IFERROR(IF(AND(INDEX(tblMeetings[تاريخ الاستحقاق],2)&lt;&gt;"",INDEX(tblMeetings[تاريخ الاستحقاق],2)&gt;=TODAY(),INDEX(tblMeetings[تاريخ الاستحقاق],2)&lt;=TODAY()+14,INDEX(tblMeetings[الحالة],2)&lt;&gt;"مغلق"),INDEX(tblMeetings[الإجراءات المطلوبة],2),""),"")</f>
        <v/>
      </c>
      <c r="V4" s="50" t="str">
        <f aca="false">IF(Q4="",V3,IF(V3="",Q4,V3&amp;"،  "&amp;Q4))</f>
        <v/>
      </c>
      <c r="W4" s="50" t="str">
        <f aca="false">IF(R4="",W3,IF(W3="",R4,W3&amp;"،  "&amp;R4))</f>
        <v>لائحة مجلس الإدارة</v>
      </c>
      <c r="X4" s="50" t="str">
        <f aca="false">IF(S4="",X3,IF(X3="",S4,X3&amp;"،  "&amp;S4))</f>
        <v/>
      </c>
      <c r="Y4" s="50" t="str">
        <f aca="false">IF(T4="",Y3,IF(Y3="",T4,Y3&amp;"،  "&amp;T4))</f>
        <v/>
      </c>
      <c r="AB4" s="50" t="str">
        <f aca="false">IFERROR(IF(Dashboard!$E$25="الحالة",INDEX('Lookup Lists'!$A$5:$A$11,3),IF(Dashboard!$E$25="الأولوية",IF(3&lt;=3,INDEX('Lookup Lists'!$B$5:$B$7,3),""),IF(Dashboard!$E$25="التصنيف",IF(3&lt;=4,INDEX('Lookup Lists'!$D$5:$D$8,3),""),IF(Dashboard!$E$25="النطاق",IF(3&lt;=2,INDEX('Lookup Lists'!$K$5:$K$6,3),""),IF(Dashboard!$E$25="الالتزام الزمني",IF(3&lt;=3,INDEX('Lookup Lists'!$J$5:$J$7,3),""),""))))),"")</f>
        <v>التعديل لدى الحلول القانونية</v>
      </c>
      <c r="AC4" s="50" t="n">
        <f aca="false">IF($AB$4="",NA(),IF(Dashboard!$E$25="الحالة",SUMPRODUCT((tblDeliverables[الحالة الحالية]=$AB$4)*((( Dashboard!$I$25="الكل")+(tblDeliverables[التصنيف]=Dashboard!$I$25))&gt;0)*((( Dashboard!$M$25="الكل")+(tblDeliverables[الأولوية]=Dashboard!$M$25))&gt;0)),IF(Dashboard!$E$25="الأولوية",SUMPRODUCT((tblDeliverables[الأولوية]=$AB$4)*((( Dashboard!$I$25="الكل")+(tblDeliverables[التصنيف]=Dashboard!$I$25))&gt;0)),IF(Dashboard!$E$25="التصنيف",SUMPRODUCT((tblDeliverables[التصنيف]=$AB$4)*((( Dashboard!$M$25="الكل")+(tblDeliverables[الأولوية]=Dashboard!$M$25))&gt;0)),IF(Dashboard!$E$25="النطاق",SUMPRODUCT((tblDeliverables[النطاق]=$AB$4)*(((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الزمني]=$AB$4)*((( Dashboard!$I$25="الكل")+(tblDeliverables[التصنيف]=Dashboard!$I$25))&gt;0)*((( Dashboard!$M$25="الكل")+(tblDeliverables[الأولوية]=Dashboard!$M$25))&gt;0)),NA()))))))</f>
        <v>3</v>
      </c>
    </row>
    <row r="5" customFormat="false" ht="15" hidden="false" customHeight="false" outlineLevel="0" collapsed="false">
      <c r="A5" s="50" t="s">
        <v>71</v>
      </c>
      <c r="B5" s="50" t="n">
        <f aca="false">COUNTIF(tblDeliverables[الحالة الحالية],"مراجعة لجنة الحوكمة")</f>
        <v>2</v>
      </c>
      <c r="D5" s="50" t="s">
        <v>72</v>
      </c>
      <c r="E5" s="50" t="n">
        <f aca="false">COUNTIF(tblDeliverables[المختص / الجهة المراجعة],"لجنة الترشيحات والمكافآت")</f>
        <v>1</v>
      </c>
      <c r="Q5" s="50" t="str">
        <f aca="false">IFERROR(IF(INDEX(tblDeliverables[مؤشر الالتزام الزمني],3)="متأخر",INDEX(tblDeliverables[المخرج],3),""),"")</f>
        <v/>
      </c>
      <c r="R5" s="50" t="str">
        <f aca="false">IFERROR(IF(AND(INDEX(tblDeliverables[الأولوية],3)="عالية",INDEX(tblDeliverables[الحالة الحالية],3)&lt;&gt;"معتمد ونافذ",INDEX(tblDeliverables[المخرج],3)&lt;&gt;""),INDEX(tblDeliverables[المخرج],3),""),"")</f>
        <v>لائحة لجنة المراجعة</v>
      </c>
      <c r="S5" s="50" t="str">
        <f aca="false">IFERROR(IF(INDEX(tblMeetings[الحالة],3)="مفتوح",INDEX(tblMeetings[أهم القرارات],3),""),"")</f>
        <v>مراجعة حالة المخرجات المتأخرة</v>
      </c>
      <c r="T5" s="50" t="str">
        <f aca="false">IFERROR(IF(AND(INDEX(tblMeetings[تاريخ الاستحقاق],3)&lt;&gt;"",INDEX(tblMeetings[تاريخ الاستحقاق],3)&gt;=TODAY(),INDEX(tblMeetings[تاريخ الاستحقاق],3)&lt;=TODAY()+14,INDEX(tblMeetings[الحالة],3)&lt;&gt;"مغلق"),INDEX(tblMeetings[الإجراءات المطلوبة],3),""),"")</f>
        <v>تسريع اعتماد مصفوفة الصلاحيات الشاملة</v>
      </c>
      <c r="V5" s="50" t="str">
        <f aca="false">IF(Q5="",V4,IF(V4="",Q5,V4&amp;"،  "&amp;Q5))</f>
        <v/>
      </c>
      <c r="W5" s="50" t="str">
        <f aca="false">IF(R5="",W4,IF(W4="",R5,W4&amp;"،  "&amp;R5))</f>
        <v>لائحة مجلس الإدارة،  لائحة لجنة المراجعة</v>
      </c>
      <c r="X5" s="50" t="str">
        <f aca="false">IF(S5="",X4,IF(X4="",S5,X4&amp;"،  "&amp;S5))</f>
        <v>مراجعة حالة المخرجات المتأخرة</v>
      </c>
      <c r="Y5" s="50" t="str">
        <f aca="false">IF(T5="",Y4,IF(Y4="",T5,Y4&amp;"،  "&amp;T5))</f>
        <v>تسريع اعتماد مصفوفة الصلاحيات الشاملة</v>
      </c>
      <c r="AB5" s="50" t="str">
        <f aca="false">IFERROR(IF(Dashboard!$E$25="الحالة",INDEX('Lookup Lists'!$A$5:$A$11,4),IF(Dashboard!$E$25="الأولوية",IF(4&lt;=3,INDEX('Lookup Lists'!$B$5:$B$7,4),""),IF(Dashboard!$E$25="التصنيف",IF(4&lt;=4,INDEX('Lookup Lists'!$D$5:$D$8,4),""),IF(Dashboard!$E$25="النطاق",IF(4&lt;=2,INDEX('Lookup Lists'!$K$5:$K$6,4),""),IF(Dashboard!$E$25="الالتزام الزمني",IF(4&lt;=3,INDEX('Lookup Lists'!$J$5:$J$7,4),""),""))))),"")</f>
        <v>مراجعة لجنة الحوكمة</v>
      </c>
      <c r="AC5" s="50" t="n">
        <f aca="false">IF($AB$5="",NA(),IF(Dashboard!$E$25="الحالة",SUMPRODUCT((tblDeliverables[الحالة الحالية]=$AB$5)*((( Dashboard!$I$25="الكل")+(tblDeliverables[التصنيف]=Dashboard!$I$25))&gt;0)*((( Dashboard!$M$25="الكل")+(tblDeliverables[الأولوية]=Dashboard!$M$25))&gt;0)),IF(Dashboard!$E$25="الأولوية",SUMPRODUCT((tblDeliverables[الأولوية]=$AB$5)*((( Dashboard!$I$25="الكل")+(tblDeliverables[التصنيف]=Dashboard!$I$25))&gt;0)),IF(Dashboard!$E$25="التصنيف",SUMPRODUCT((tblDeliverables[التصنيف]=$AB$5)*((( Dashboard!$M$25="الكل")+(tblDeliverables[الأولوية]=Dashboard!$M$25))&gt;0)),IF(Dashboard!$E$25="النطاق",SUMPRODUCT((tblDeliverables[النطاق]=$AB$5)*(((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الزمني]=$AB$5)*((( Dashboard!$I$25="الكل")+(tblDeliverables[التصنيف]=Dashboard!$I$25))&gt;0)*((( Dashboard!$M$25="الكل")+(tblDeliverables[الأولوية]=Dashboard!$M$25))&gt;0)),NA()))))))</f>
        <v>2</v>
      </c>
    </row>
    <row r="6" customFormat="false" ht="15" hidden="false" customHeight="false" outlineLevel="0" collapsed="false">
      <c r="A6" s="50" t="s">
        <v>74</v>
      </c>
      <c r="B6" s="50" t="n">
        <f aca="false">COUNTIF(tblDeliverables[الحالة الحالية],"مراجعة لجنة الترشيحات والمكافآت")</f>
        <v>1</v>
      </c>
      <c r="D6" s="50" t="s">
        <v>75</v>
      </c>
      <c r="E6" s="50" t="n">
        <f aca="false">COUNTIF(tblDeliverables[المختص / الجهة المراجعة],"الرئيس التنفيذي")</f>
        <v>4</v>
      </c>
      <c r="Q6" s="50" t="str">
        <f aca="false">IFERROR(IF(INDEX(tblDeliverables[مؤشر الالتزام الزمني],4)="متأخر",INDEX(tblDeliverables[المخرج],4),""),"")</f>
        <v/>
      </c>
      <c r="R6" s="50" t="str">
        <f aca="false">IFERROR(IF(AND(INDEX(tblDeliverables[الأولوية],4)="عالية",INDEX(tblDeliverables[الحالة الحالية],4)&lt;&gt;"معتمد ونافذ",INDEX(tblDeliverables[المخرج],4)&lt;&gt;""),INDEX(tblDeliverables[المخرج],4),""),"")</f>
        <v>لائحة لجنة الترشيحات والمكافآت</v>
      </c>
      <c r="S6" s="50" t="str">
        <f aca="false">IFERROR(IF(INDEX(tblMeetings[الحالة],4)="مفتوح",INDEX(tblMeetings[أهم القرارات],4),""),"")</f>
        <v>الموافقة على رفع لوائح اللجان للمجلس</v>
      </c>
      <c r="T6" s="50" t="str">
        <f aca="false">IFERROR(IF(AND(INDEX(tblMeetings[تاريخ الاستحقاق],4)&lt;&gt;"",INDEX(tblMeetings[تاريخ الاستحقاق],4)&gt;=TODAY(),INDEX(tblMeetings[تاريخ الاستحقاق],4)&lt;=TODAY()+14,INDEX(tblMeetings[الحالة],4)&lt;&gt;"مغلق"),INDEX(tblMeetings[الإجراءات المطلوبة],4),""),"")</f>
        <v>جدولة جلسة اعتماد لائحة مجلس الإدارة</v>
      </c>
      <c r="V6" s="50" t="str">
        <f aca="false">IF(Q6="",V5,IF(V5="",Q6,V5&amp;"،  "&amp;Q6))</f>
        <v/>
      </c>
      <c r="W6" s="50" t="str">
        <f aca="false">IF(R6="",W5,IF(W5="",R6,W5&amp;"،  "&amp;R6))</f>
        <v>لائحة مجلس الإدارة،  لائحة لجنة المراجعة،  لائحة لجنة الترشيحات والمكافآت</v>
      </c>
      <c r="X6" s="50" t="str">
        <f aca="false">IF(S6="",X5,IF(X5="",S6,X5&amp;"،  "&amp;S6))</f>
        <v>مراجعة حالة المخرجات المتأخرة،  الموافقة على رفع لوائح اللجان للمجلس</v>
      </c>
      <c r="Y6" s="50" t="str">
        <f aca="false">IF(T6="",Y5,IF(Y5="",T6,Y5&amp;"،  "&amp;T6))</f>
        <v>تسريع اعتماد مصفوفة الصلاحيات الشاملة،  جدولة جلسة اعتماد لائحة مجلس الإدارة</v>
      </c>
      <c r="AB6" s="50" t="str">
        <f aca="false">IFERROR(IF(Dashboard!$E$25="الحالة",INDEX('Lookup Lists'!$A$5:$A$11,5),IF(Dashboard!$E$25="الأولوية",IF(5&lt;=3,INDEX('Lookup Lists'!$B$5:$B$7,5),""),IF(Dashboard!$E$25="التصنيف",IF(5&lt;=4,INDEX('Lookup Lists'!$D$5:$D$8,5),""),IF(Dashboard!$E$25="النطاق",IF(5&lt;=2,INDEX('Lookup Lists'!$K$5:$K$6,5),""),IF(Dashboard!$E$25="الالتزام الزمني",IF(5&lt;=3,INDEX('Lookup Lists'!$J$5:$J$7,5),""),""))))),"")</f>
        <v>مراجعة لجنة الترشيحات والمكافآت</v>
      </c>
      <c r="AC6" s="50" t="n">
        <f aca="false">IF($AB$6="",NA(),IF(Dashboard!$E$25="الحالة",SUMPRODUCT((tblDeliverables[الحالة الحالية]=$AB$6)*((( Dashboard!$I$25="الكل")+(tblDeliverables[التصنيف]=Dashboard!$I$25))&gt;0)*((( Dashboard!$M$25="الكل")+(tblDeliverables[الأولوية]=Dashboard!$M$25))&gt;0)),IF(Dashboard!$E$25="الأولوية",SUMPRODUCT((tblDeliverables[الأولوية]=$AB$6)*((( Dashboard!$I$25="الكل")+(tblDeliverables[التصنيف]=Dashboard!$I$25))&gt;0)),IF(Dashboard!$E$25="التصنيف",SUMPRODUCT((tblDeliverables[التصنيف]=$AB$6)*((( Dashboard!$M$25="الكل")+(tblDeliverables[الأولوية]=Dashboard!$M$25))&gt;0)),IF(Dashboard!$E$25="النطاق",SUMPRODUCT((tblDeliverables[النطاق]=$AB$6)*(((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الزمني]=$AB$6)*((( Dashboard!$I$25="الكل")+(tblDeliverables[التصنيف]=Dashboard!$I$25))&gt;0)*((( Dashboard!$M$25="الكل")+(tblDeliverables[الأولوية]=Dashboard!$M$25))&gt;0)),NA()))))))</f>
        <v>1</v>
      </c>
    </row>
    <row r="7" customFormat="false" ht="15" hidden="false" customHeight="false" outlineLevel="0" collapsed="false">
      <c r="A7" s="50" t="s">
        <v>77</v>
      </c>
      <c r="B7" s="50" t="n">
        <f aca="false">COUNTIF(tblDeliverables[الحالة الحالية],"اعتماد مجلس الإدارة")</f>
        <v>1</v>
      </c>
      <c r="D7" s="50" t="s">
        <v>78</v>
      </c>
      <c r="E7" s="50" t="n">
        <f aca="false">COUNTIF(tblDeliverables[المختص / الجهة المراجعة],"الإدارة التنفيذية")</f>
        <v>3</v>
      </c>
      <c r="Q7" s="50" t="str">
        <f aca="false">IFERROR(IF(INDEX(tblDeliverables[مؤشر الالتزام الزمني],5)="متأخر",INDEX(tblDeliverables[المخرج],5),""),"")</f>
        <v/>
      </c>
      <c r="R7" s="50" t="str">
        <f aca="false">IFERROR(IF(AND(INDEX(tblDeliverables[الأولوية],5)="عالية",INDEX(tblDeliverables[الحالة الحالية],5)&lt;&gt;"معتمد ونافذ",INDEX(tblDeliverables[المخرج],5)&lt;&gt;""),INDEX(tblDeliverables[المخرج],5),""),"")</f>
        <v/>
      </c>
      <c r="S7" s="50" t="str">
        <f aca="false">IFERROR(IF(INDEX(tblMeetings[الحالة],5)="مفتوح",INDEX(tblMeetings[أهم القرارات],5),""),"")</f>
        <v/>
      </c>
      <c r="T7" s="50" t="str">
        <f aca="false">IFERROR(IF(AND(INDEX(tblMeetings[تاريخ الاستحقاق],5)&lt;&gt;"",INDEX(tblMeetings[تاريخ الاستحقاق],5)&gt;=TODAY(),INDEX(tblMeetings[تاريخ الاستحقاق],5)&lt;=TODAY()+14,INDEX(tblMeetings[الحالة],5)&lt;&gt;"مغلق"),INDEX(tblMeetings[الإجراءات المطلوبة],5),""),"")</f>
        <v/>
      </c>
      <c r="V7" s="50" t="str">
        <f aca="false">IF(Q7="",V6,IF(V6="",Q7,V6&amp;"،  "&amp;Q7))</f>
        <v/>
      </c>
      <c r="W7" s="50" t="str">
        <f aca="false">IF(R7="",W6,IF(W6="",R7,W6&amp;"،  "&amp;R7))</f>
        <v>لائحة مجلس الإدارة،  لائحة لجنة المراجعة،  لائحة لجنة الترشيحات والمكافآت</v>
      </c>
      <c r="X7" s="50" t="str">
        <f aca="false">IF(S7="",X6,IF(X6="",S7,X6&amp;"،  "&amp;S7))</f>
        <v>مراجعة حالة المخرجات المتأخرة،  الموافقة على رفع لوائح اللجان للمجلس</v>
      </c>
      <c r="Y7" s="50" t="str">
        <f aca="false">IF(T7="",Y6,IF(Y6="",T7,Y6&amp;"،  "&amp;T7))</f>
        <v>تسريع اعتماد مصفوفة الصلاحيات الشاملة،  جدولة جلسة اعتماد لائحة مجلس الإدارة</v>
      </c>
      <c r="AB7" s="50" t="str">
        <f aca="false">IFERROR(IF(Dashboard!$E$25="الحالة",INDEX('Lookup Lists'!$A$5:$A$11,6),IF(Dashboard!$E$25="الأولوية",IF(6&lt;=3,INDEX('Lookup Lists'!$B$5:$B$7,6),""),IF(Dashboard!$E$25="التصنيف",IF(6&lt;=4,INDEX('Lookup Lists'!$D$5:$D$8,6),""),IF(Dashboard!$E$25="النطاق",IF(6&lt;=2,INDEX('Lookup Lists'!$K$5:$K$6,6),""),IF(Dashboard!$E$25="الالتزام الزمني",IF(6&lt;=3,INDEX('Lookup Lists'!$J$5:$J$7,6),""),""))))),"")</f>
        <v>اعتماد مجلس الإدارة</v>
      </c>
      <c r="AC7" s="50" t="n">
        <f aca="false">IF($AB$7="",NA(),IF(Dashboard!$E$25="الحالة",SUMPRODUCT((tblDeliverables[الحالة الحالية]=$AB$7)*((( Dashboard!$I$25="الكل")+(tblDeliverables[التصنيف]=Dashboard!$I$25))&gt;0)*((( Dashboard!$M$25="الكل")+(tblDeliverables[الأولوية]=Dashboard!$M$25))&gt;0)),IF(Dashboard!$E$25="الأولوية",SUMPRODUCT((tblDeliverables[الأولوية]=$AB$7)*((( Dashboard!$I$25="الكل")+(tblDeliverables[التصنيف]=Dashboard!$I$25))&gt;0)),IF(Dashboard!$E$25="التصنيف",SUMPRODUCT((tblDeliverables[التصنيف]=$AB$7)*((( Dashboard!$M$25="الكل")+(tblDeliverables[الأولوية]=Dashboard!$M$25))&gt;0)),IF(Dashboard!$E$25="النطاق",SUMPRODUCT((tblDeliverables[النطاق]=$AB$7)*(((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الزمني]=$AB$7)*((( Dashboard!$I$25="الكل")+(tblDeliverables[التصنيف]=Dashboard!$I$25))&gt;0)*((( Dashboard!$M$25="الكل")+(tblDeliverables[الأولوية]=Dashboard!$M$25))&gt;0)),NA()))))))</f>
        <v>1</v>
      </c>
    </row>
    <row r="8" customFormat="false" ht="15" hidden="false" customHeight="false" outlineLevel="0" collapsed="false">
      <c r="A8" s="50" t="s">
        <v>79</v>
      </c>
      <c r="B8" s="50" t="n">
        <f aca="false">COUNTIF(tblDeliverables[الحالة الحالية],"معتمد ونافذ")</f>
        <v>1</v>
      </c>
      <c r="D8" s="50" t="s">
        <v>80</v>
      </c>
      <c r="E8" s="50" t="n">
        <f aca="false">COUNTIF(tblDeliverables[المختص / الجهة المراجعة],"عامر البيروتي")</f>
        <v>0</v>
      </c>
      <c r="Q8" s="50" t="str">
        <f aca="false">IFERROR(IF(INDEX(tblDeliverables[مؤشر الالتزام الزمني],6)="متأخر",INDEX(tblDeliverables[المخرج],6),""),"")</f>
        <v/>
      </c>
      <c r="R8" s="50" t="str">
        <f aca="false">IFERROR(IF(AND(INDEX(tblDeliverables[الأولوية],6)="عالية",INDEX(tblDeliverables[الحالة الحالية],6)&lt;&gt;"معتمد ونافذ",INDEX(tblDeliverables[المخرج],6)&lt;&gt;""),INDEX(tblDeliverables[المخرج],6),""),"")</f>
        <v/>
      </c>
      <c r="S8" s="50" t="str">
        <f aca="false">IFERROR(IF(INDEX(tblMeetings[الحالة],6)="مفتوح",INDEX(tblMeetings[أهم القرارات],6),""),"")</f>
        <v/>
      </c>
      <c r="T8" s="50" t="str">
        <f aca="false">IFERROR(IF(AND(INDEX(tblMeetings[تاريخ الاستحقاق],6)&lt;&gt;"",INDEX(tblMeetings[تاريخ الاستحقاق],6)&gt;=TODAY(),INDEX(tblMeetings[تاريخ الاستحقاق],6)&lt;=TODAY()+14,INDEX(tblMeetings[الحالة],6)&lt;&gt;"مغلق"),INDEX(tblMeetings[الإجراءات المطلوبة],6),""),"")</f>
        <v/>
      </c>
      <c r="V8" s="50" t="str">
        <f aca="false">IF(Q8="",V7,IF(V7="",Q8,V7&amp;"،  "&amp;Q8))</f>
        <v/>
      </c>
      <c r="W8" s="50" t="str">
        <f aca="false">IF(R8="",W7,IF(W7="",R8,W7&amp;"،  "&amp;R8))</f>
        <v>لائحة مجلس الإدارة،  لائحة لجنة المراجعة،  لائحة لجنة الترشيحات والمكافآت</v>
      </c>
      <c r="X8" s="50" t="str">
        <f aca="false">IF(S8="",X7,IF(X7="",S8,X7&amp;"،  "&amp;S8))</f>
        <v>مراجعة حالة المخرجات المتأخرة،  الموافقة على رفع لوائح اللجان للمجلس</v>
      </c>
      <c r="Y8" s="50" t="str">
        <f aca="false">IF(T8="",Y7,IF(Y7="",T8,Y7&amp;"،  "&amp;T8))</f>
        <v>تسريع اعتماد مصفوفة الصلاحيات الشاملة،  جدولة جلسة اعتماد لائحة مجلس الإدارة</v>
      </c>
      <c r="AB8" s="50" t="str">
        <f aca="false">IFERROR(IF(Dashboard!$E$25="الحالة",INDEX('Lookup Lists'!$A$5:$A$11,7),IF(Dashboard!$E$25="الأولوية",IF(7&lt;=3,INDEX('Lookup Lists'!$B$5:$B$7,7),""),IF(Dashboard!$E$25="التصنيف",IF(7&lt;=4,INDEX('Lookup Lists'!$D$5:$D$8,7),""),IF(Dashboard!$E$25="النطاق",IF(7&lt;=2,INDEX('Lookup Lists'!$K$5:$K$6,7),""),IF(Dashboard!$E$25="الالتزام الزمني",IF(7&lt;=3,INDEX('Lookup Lists'!$J$5:$J$7,7),""),""))))),"")</f>
        <v>معتمد ونافذ</v>
      </c>
      <c r="AC8" s="50" t="n">
        <f aca="false">IF($AB$8="",NA(),IF(Dashboard!$E$25="الحالة",SUMPRODUCT((tblDeliverables[الحالة الحالية]=$AB$8)*((( Dashboard!$I$25="الكل")+(tblDeliverables[التصنيف]=Dashboard!$I$25))&gt;0)*((( Dashboard!$M$25="الكل")+(tblDeliverables[الأولوية]=Dashboard!$M$25))&gt;0)),IF(Dashboard!$E$25="الأولوية",SUMPRODUCT((tblDeliverables[الأولوية]=$AB$8)*((( Dashboard!$I$25="الكل")+(tblDeliverables[التصنيف]=Dashboard!$I$25))&gt;0)),IF(Dashboard!$E$25="التصنيف",SUMPRODUCT((tblDeliverables[التصنيف]=$AB$8)*((( Dashboard!$M$25="الكل")+(tblDeliverables[الأولوية]=Dashboard!$M$25))&gt;0)),IF(Dashboard!$E$25="النطاق",SUMPRODUCT((tblDeliverables[النطاق]=$AB$8)*((( Dashboard!$I$25="الكل")+(tblDeliverables[التصنيف]=Dashboard!$I$25))&gt;0)*((( Dashboard!$M$25="الكل")+(tblDeliverables[الأولوية]=Dashboard!$M$25))&gt;0)),IF(Dashboard!$E$25="الالتزام الزمني",SUMPRODUCT((tblDeliverables[مؤشر الالتزام الزمني]=$AB$8)*((( Dashboard!$I$25="الكل")+(tblDeliverables[التصنيف]=Dashboard!$I$25))&gt;0)*((( Dashboard!$M$25="الكل")+(tblDeliverables[الأولوية]=Dashboard!$M$25))&gt;0)),NA()))))))</f>
        <v>1</v>
      </c>
    </row>
    <row r="9" customFormat="false" ht="15" hidden="false" customHeight="false" outlineLevel="0" collapsed="false">
      <c r="D9" s="50" t="s">
        <v>81</v>
      </c>
      <c r="E9" s="50" t="n">
        <f aca="false">COUNTIF(tblDeliverables[المختص / الجهة المراجعة],"أمين المجلس")</f>
        <v>0</v>
      </c>
      <c r="Q9" s="50" t="str">
        <f aca="false">IFERROR(IF(INDEX(tblDeliverables[مؤشر الالتزام الزمني],7)="متأخر",INDEX(tblDeliverables[المخرج],7),""),"")</f>
        <v/>
      </c>
      <c r="R9" s="50" t="str">
        <f aca="false">IFERROR(IF(AND(INDEX(tblDeliverables[الأولوية],7)="عالية",INDEX(tblDeliverables[الحالة الحالية],7)&lt;&gt;"معتمد ونافذ",INDEX(tblDeliverables[المخرج],7)&lt;&gt;""),INDEX(tblDeliverables[المخرج],7),""),"")</f>
        <v/>
      </c>
      <c r="S9" s="50" t="str">
        <f aca="false">IFERROR(IF(INDEX(tblMeetings[الحالة],7)="مفتوح",INDEX(tblMeetings[أهم القرارات],7),""),"")</f>
        <v/>
      </c>
      <c r="T9" s="50" t="str">
        <f aca="false">IFERROR(IF(AND(INDEX(tblMeetings[تاريخ الاستحقاق],7)&lt;&gt;"",INDEX(tblMeetings[تاريخ الاستحقاق],7)&gt;=TODAY(),INDEX(tblMeetings[تاريخ الاستحقاق],7)&lt;=TODAY()+14,INDEX(tblMeetings[الحالة],7)&lt;&gt;"مغلق"),INDEX(tblMeetings[الإجراءات المطلوبة],7),""),"")</f>
        <v/>
      </c>
      <c r="V9" s="50" t="str">
        <f aca="false">IF(Q9="",V8,IF(V8="",Q9,V8&amp;"،  "&amp;Q9))</f>
        <v/>
      </c>
      <c r="W9" s="50" t="str">
        <f aca="false">IF(R9="",W8,IF(W8="",R9,W8&amp;"،  "&amp;R9))</f>
        <v>لائحة مجلس الإدارة،  لائحة لجنة المراجعة،  لائحة لجنة الترشيحات والمكافآت</v>
      </c>
      <c r="X9" s="50" t="str">
        <f aca="false">IF(S9="",X8,IF(X8="",S9,X8&amp;"،  "&amp;S9))</f>
        <v>مراجعة حالة المخرجات المتأخرة،  الموافقة على رفع لوائح اللجان للمجلس</v>
      </c>
      <c r="Y9" s="50" t="str">
        <f aca="false">IF(T9="",Y8,IF(Y8="",T9,Y8&amp;"،  "&amp;T9))</f>
        <v>تسريع اعتماد مصفوفة الصلاحيات الشاملة،  جدولة جلسة اعتماد لائحة مجلس الإدارة</v>
      </c>
    </row>
    <row r="10" customFormat="false" ht="15" hidden="false" customHeight="false" outlineLevel="0" collapsed="false">
      <c r="D10" s="50" t="s">
        <v>82</v>
      </c>
      <c r="E10" s="50" t="n">
        <f aca="false">COUNTIF(tblDeliverables[المختص / الجهة المراجعة],"الموارد البشرية")</f>
        <v>0</v>
      </c>
      <c r="Q10" s="50" t="str">
        <f aca="false">IFERROR(IF(INDEX(tblDeliverables[مؤشر الالتزام الزمني],8)="متأخر",INDEX(tblDeliverables[المخرج],8),""),"")</f>
        <v/>
      </c>
      <c r="R10" s="50" t="str">
        <f aca="false">IFERROR(IF(AND(INDEX(tblDeliverables[الأولوية],8)="عالية",INDEX(tblDeliverables[الحالة الحالية],8)&lt;&gt;"معتمد ونافذ",INDEX(tblDeliverables[المخرج],8)&lt;&gt;""),INDEX(tblDeliverables[المخرج],8),""),"")</f>
        <v/>
      </c>
      <c r="S10" s="50" t="str">
        <f aca="false">IFERROR(IF(INDEX(tblMeetings[الحالة],8)="مفتوح",INDEX(tblMeetings[أهم القرارات],8),""),"")</f>
        <v/>
      </c>
      <c r="T10" s="50" t="str">
        <f aca="false">IFERROR(IF(AND(INDEX(tblMeetings[تاريخ الاستحقاق],8)&lt;&gt;"",INDEX(tblMeetings[تاريخ الاستحقاق],8)&gt;=TODAY(),INDEX(tblMeetings[تاريخ الاستحقاق],8)&lt;=TODAY()+14,INDEX(tblMeetings[الحالة],8)&lt;&gt;"مغلق"),INDEX(tblMeetings[الإجراءات المطلوبة],8),""),"")</f>
        <v/>
      </c>
      <c r="V10" s="50" t="str">
        <f aca="false">IF(Q10="",V9,IF(V9="",Q10,V9&amp;"،  "&amp;Q10))</f>
        <v/>
      </c>
      <c r="W10" s="50" t="str">
        <f aca="false">IF(R10="",W9,IF(W9="",R10,W9&amp;"،  "&amp;R10))</f>
        <v>لائحة مجلس الإدارة،  لائحة لجنة المراجعة،  لائحة لجنة الترشيحات والمكافآت</v>
      </c>
      <c r="X10" s="50" t="str">
        <f aca="false">IF(S10="",X9,IF(X9="",S10,X9&amp;"،  "&amp;S10))</f>
        <v>مراجعة حالة المخرجات المتأخرة،  الموافقة على رفع لوائح اللجان للمجلس</v>
      </c>
      <c r="Y10" s="50" t="str">
        <f aca="false">IF(T10="",Y9,IF(Y9="",T10,Y9&amp;"،  "&amp;T10))</f>
        <v>تسريع اعتماد مصفوفة الصلاحيات الشاملة،  جدولة جلسة اعتماد لائحة مجلس الإدارة</v>
      </c>
    </row>
    <row r="11" customFormat="false" ht="15" hidden="false" customHeight="false" outlineLevel="0" collapsed="false">
      <c r="D11" s="50" t="s">
        <v>83</v>
      </c>
      <c r="E11" s="50" t="n">
        <f aca="false">COUNTIF(tblDeliverables[المختص / الجهة المراجعة],"الإدارة المالية")</f>
        <v>3</v>
      </c>
      <c r="Q11" s="50" t="str">
        <f aca="false">IFERROR(IF(INDEX(tblDeliverables[مؤشر الالتزام الزمني],9)="متأخر",INDEX(tblDeliverables[المخرج],9),""),"")</f>
        <v>مصفوفة الصلاحيات الشاملة</v>
      </c>
      <c r="R11" s="50" t="str">
        <f aca="false">IFERROR(IF(AND(INDEX(tblDeliverables[الأولوية],9)="عالية",INDEX(tblDeliverables[الحالة الحالية],9)&lt;&gt;"معتمد ونافذ",INDEX(tblDeliverables[المخرج],9)&lt;&gt;""),INDEX(tblDeliverables[المخرج],9),""),"")</f>
        <v>مصفوفة الصلاحيات الشاملة</v>
      </c>
      <c r="S11" s="50" t="str">
        <f aca="false">IFERROR(IF(INDEX(tblMeetings[الحالة],9)="مفتوح",INDEX(tblMeetings[أهم القرارات],9),""),"")</f>
        <v/>
      </c>
      <c r="T11" s="50" t="str">
        <f aca="false">IFERROR(IF(AND(INDEX(tblMeetings[تاريخ الاستحقاق],9)&lt;&gt;"",INDEX(tblMeetings[تاريخ الاستحقاق],9)&gt;=TODAY(),INDEX(tblMeetings[تاريخ الاستحقاق],9)&lt;=TODAY()+14,INDEX(tblMeetings[الحالة],9)&lt;&gt;"مغلق"),INDEX(tblMeetings[الإجراءات المطلوبة],9),""),"")</f>
        <v/>
      </c>
      <c r="V11" s="50" t="str">
        <f aca="false">IF(Q11="",V10,IF(V10="",Q11,V10&amp;"،  "&amp;Q11))</f>
        <v>مصفوفة الصلاحيات الشاملة</v>
      </c>
      <c r="W11" s="50" t="str">
        <f aca="false">IF(R11="",W10,IF(W10="",R11,W10&amp;"،  "&amp;R11))</f>
        <v>لائحة مجلس الإدارة،  لائحة لجنة المراجعة،  لائحة لجنة الترشيحات والمكافآت،  مصفوفة الصلاحيات الشاملة</v>
      </c>
      <c r="X11" s="50" t="str">
        <f aca="false">IF(S11="",X10,IF(X10="",S11,X10&amp;"،  "&amp;S11))</f>
        <v>مراجعة حالة المخرجات المتأخرة،  الموافقة على رفع لوائح اللجان للمجلس</v>
      </c>
      <c r="Y11" s="50" t="str">
        <f aca="false">IF(T11="",Y10,IF(Y10="",T11,Y10&amp;"،  "&amp;T11))</f>
        <v>تسريع اعتماد مصفوفة الصلاحيات الشاملة،  جدولة جلسة اعتماد لائحة مجلس الإدارة</v>
      </c>
    </row>
    <row r="12" customFormat="false" ht="15" hidden="false" customHeight="false" outlineLevel="0" collapsed="false">
      <c r="D12" s="50" t="s">
        <v>84</v>
      </c>
      <c r="E12" s="50" t="n">
        <f aca="false">COUNTIF(tblDeliverables[المختص / الجهة المراجعة],"تقنية المعلومات")</f>
        <v>1</v>
      </c>
      <c r="Q12" s="50" t="str">
        <f aca="false">IFERROR(IF(INDEX(tblDeliverables[مؤشر الالتزام الزمني],10)="متأخر",INDEX(tblDeliverables[المخرج],10),""),"")</f>
        <v/>
      </c>
      <c r="R12" s="50" t="str">
        <f aca="false">IFERROR(IF(AND(INDEX(tblDeliverables[الأولوية],10)="عالية",INDEX(tblDeliverables[الحالة الحالية],10)&lt;&gt;"معتمد ونافذ",INDEX(tblDeliverables[المخرج],10)&lt;&gt;""),INDEX(tblDeliverables[المخرج],10),""),"")</f>
        <v/>
      </c>
      <c r="S12" s="50" t="str">
        <f aca="false">IFERROR(IF(INDEX(tblMeetings[الحالة],10)="مفتوح",INDEX(tblMeetings[أهم القرارات],10),""),"")</f>
        <v/>
      </c>
      <c r="T12" s="50" t="str">
        <f aca="false">IFERROR(IF(AND(INDEX(tblMeetings[تاريخ الاستحقاق],10)&lt;&gt;"",INDEX(tblMeetings[تاريخ الاستحقاق],10)&gt;=TODAY(),INDEX(tblMeetings[تاريخ الاستحقاق],10)&lt;=TODAY()+14,INDEX(tblMeetings[الحالة],10)&lt;&gt;"مغلق"),INDEX(tblMeetings[الإجراءات المطلوبة],10),""),"")</f>
        <v/>
      </c>
      <c r="V12" s="50" t="str">
        <f aca="false">IF(Q12="",V11,IF(V11="",Q12,V11&amp;"،  "&amp;Q12))</f>
        <v>مصفوفة الصلاحيات الشاملة</v>
      </c>
      <c r="W12" s="50" t="str">
        <f aca="false">IF(R12="",W11,IF(W11="",R12,W11&amp;"،  "&amp;R12))</f>
        <v>لائحة مجلس الإدارة،  لائحة لجنة المراجعة،  لائحة لجنة الترشيحات والمكافآت،  مصفوفة الصلاحيات الشاملة</v>
      </c>
      <c r="X12" s="50" t="str">
        <f aca="false">IF(S12="",X11,IF(X11="",S12,X11&amp;"،  "&amp;S12))</f>
        <v>مراجعة حالة المخرجات المتأخرة،  الموافقة على رفع لوائح اللجان للمجلس</v>
      </c>
      <c r="Y12" s="50" t="str">
        <f aca="false">IF(T12="",Y11,IF(Y11="",T12,Y11&amp;"،  "&amp;T12))</f>
        <v>تسريع اعتماد مصفوفة الصلاحيات الشاملة،  جدولة جلسة اعتماد لائحة مجلس الإدارة</v>
      </c>
    </row>
    <row r="13" customFormat="false" ht="15" hidden="false" customHeight="false" outlineLevel="0" collapsed="false">
      <c r="D13" s="50" t="s">
        <v>85</v>
      </c>
      <c r="E13" s="50" t="n">
        <f aca="false">COUNTIF(tblDeliverables[المختص / الجهة المراجعة],"الشؤون القانونية")</f>
        <v>5</v>
      </c>
      <c r="Q13" s="50" t="str">
        <f aca="false">IFERROR(IF(INDEX(tblDeliverables[مؤشر الالتزام الزمني],11)="متأخر",INDEX(tblDeliverables[المخرج],11),""),"")</f>
        <v/>
      </c>
      <c r="R13" s="50" t="str">
        <f aca="false">IFERROR(IF(AND(INDEX(tblDeliverables[الأولوية],11)="عالية",INDEX(tblDeliverables[الحالة الحالية],11)&lt;&gt;"معتمد ونافذ",INDEX(tblDeliverables[المخرج],11)&lt;&gt;""),INDEX(tblDeliverables[المخرج],11),""),"")</f>
        <v>سياسة تعارض المصالح</v>
      </c>
      <c r="S13" s="50" t="str">
        <f aca="false">IFERROR(IF(INDEX(tblMeetings[الحالة],11)="مفتوح",INDEX(tblMeetings[أهم القرارات],11),""),"")</f>
        <v/>
      </c>
      <c r="T13" s="50" t="str">
        <f aca="false">IFERROR(IF(AND(INDEX(tblMeetings[تاريخ الاستحقاق],11)&lt;&gt;"",INDEX(tblMeetings[تاريخ الاستحقاق],11)&gt;=TODAY(),INDEX(tblMeetings[تاريخ الاستحقاق],11)&lt;=TODAY()+14,INDEX(tblMeetings[الحالة],11)&lt;&gt;"مغلق"),INDEX(tblMeetings[الإجراءات المطلوبة],11),""),"")</f>
        <v/>
      </c>
      <c r="V13" s="50" t="str">
        <f aca="false">IF(Q13="",V12,IF(V12="",Q13,V12&amp;"،  "&amp;Q13))</f>
        <v>مصفوفة الصلاحيات الشاملة</v>
      </c>
      <c r="W13" s="50" t="str">
        <f aca="false">IF(R13="",W12,IF(W12="",R13,W12&amp;"،  "&amp;R13))</f>
        <v>لائحة مجلس الإدارة،  لائحة لجنة المراجعة،  لائحة لجنة الترشيحات والمكافآت،  مصفوفة الصلاحيات الشاملة،  سياسة تعارض المصالح</v>
      </c>
      <c r="X13" s="50" t="str">
        <f aca="false">IF(S13="",X12,IF(X12="",S13,X12&amp;"،  "&amp;S13))</f>
        <v>مراجعة حالة المخرجات المتأخرة،  الموافقة على رفع لوائح اللجان للمجلس</v>
      </c>
      <c r="Y13" s="50" t="str">
        <f aca="false">IF(T13="",Y12,IF(Y12="",T13,Y12&amp;"،  "&amp;T13))</f>
        <v>تسريع اعتماد مصفوفة الصلاحيات الشاملة،  جدولة جلسة اعتماد لائحة مجلس الإدارة</v>
      </c>
    </row>
    <row r="14" customFormat="false" ht="15" hidden="false" customHeight="false" outlineLevel="0" collapsed="false">
      <c r="D14" s="50" t="s">
        <v>86</v>
      </c>
      <c r="E14" s="50" t="n">
        <f aca="false">COUNTIF(tblDeliverables[المختص / الجهة المراجعة],"الإدارة التجارية")</f>
        <v>0</v>
      </c>
      <c r="Q14" s="50" t="str">
        <f aca="false">IFERROR(IF(INDEX(tblDeliverables[مؤشر الالتزام الزمني],12)="متأخر",INDEX(tblDeliverables[المخرج],12),""),"")</f>
        <v/>
      </c>
      <c r="R14" s="50" t="str">
        <f aca="false">IFERROR(IF(AND(INDEX(tblDeliverables[الأولوية],12)="عالية",INDEX(tblDeliverables[الحالة الحالية],12)&lt;&gt;"معتمد ونافذ",INDEX(tblDeliverables[المخرج],12)&lt;&gt;""),INDEX(tblDeliverables[المخرج],12),""),"")</f>
        <v>سياسة إدارة المخاطر</v>
      </c>
      <c r="S14" s="50" t="str">
        <f aca="false">IFERROR(IF(INDEX(tblMeetings[الحالة],12)="مفتوح",INDEX(tblMeetings[أهم القرارات],12),""),"")</f>
        <v/>
      </c>
      <c r="T14" s="50" t="str">
        <f aca="false">IFERROR(IF(AND(INDEX(tblMeetings[تاريخ الاستحقاق],12)&lt;&gt;"",INDEX(tblMeetings[تاريخ الاستحقاق],12)&gt;=TODAY(),INDEX(tblMeetings[تاريخ الاستحقاق],12)&lt;=TODAY()+14,INDEX(tblMeetings[الحالة],12)&lt;&gt;"مغلق"),INDEX(tblMeetings[الإجراءات المطلوبة],12),""),"")</f>
        <v/>
      </c>
      <c r="V14" s="50" t="str">
        <f aca="false">IF(Q14="",V13,IF(V13="",Q14,V13&amp;"،  "&amp;Q14))</f>
        <v>مصفوفة الصلاحيات الشاملة</v>
      </c>
      <c r="W14" s="50" t="str">
        <f aca="false">IF(R14="",W13,IF(W13="",R14,W13&amp;"،  "&amp;R14))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</v>
      </c>
      <c r="X14" s="50" t="str">
        <f aca="false">IF(S14="",X13,IF(X13="",S14,X13&amp;"،  "&amp;S14))</f>
        <v>مراجعة حالة المخرجات المتأخرة،  الموافقة على رفع لوائح اللجان للمجلس</v>
      </c>
      <c r="Y14" s="50" t="str">
        <f aca="false">IF(T14="",Y13,IF(Y13="",T14,Y13&amp;"،  "&amp;T14))</f>
        <v>تسريع اعتماد مصفوفة الصلاحيات الشاملة،  جدولة جلسة اعتماد لائحة مجلس الإدارة</v>
      </c>
    </row>
    <row r="15" customFormat="false" ht="15" hidden="false" customHeight="false" outlineLevel="0" collapsed="false">
      <c r="D15" s="50" t="s">
        <v>87</v>
      </c>
      <c r="E15" s="50" t="n">
        <f aca="false">COUNTIF(tblDeliverables[المختص / الجهة المراجعة],"العمليات والتشغيل")</f>
        <v>1</v>
      </c>
      <c r="Q15" s="50" t="str">
        <f aca="false">IFERROR(IF(INDEX(tblDeliverables[مؤشر الالتزام الزمني],13)="متأخر",INDEX(tblDeliverables[المخرج],13),""),"")</f>
        <v/>
      </c>
      <c r="R15" s="50" t="str">
        <f aca="false">IFERROR(IF(AND(INDEX(tblDeliverables[الأولوية],13)="عالية",INDEX(tblDeliverables[الحالة الحالية],13)&lt;&gt;"معتمد ونافذ",INDEX(tblDeliverables[المخرج],13)&lt;&gt;""),INDEX(tblDeliverables[المخرج],13),""),"")</f>
        <v/>
      </c>
      <c r="S15" s="50" t="str">
        <f aca="false">IFERROR(IF(INDEX(tblMeetings[الحالة],13)="مفتوح",INDEX(tblMeetings[أهم القرارات],13),""),"")</f>
        <v/>
      </c>
      <c r="T15" s="50" t="str">
        <f aca="false">IFERROR(IF(AND(INDEX(tblMeetings[تاريخ الاستحقاق],13)&lt;&gt;"",INDEX(tblMeetings[تاريخ الاستحقاق],13)&gt;=TODAY(),INDEX(tblMeetings[تاريخ الاستحقاق],13)&lt;=TODAY()+14,INDEX(tblMeetings[الحالة],13)&lt;&gt;"مغلق"),INDEX(tblMeetings[الإجراءات المطلوبة],13),""),"")</f>
        <v/>
      </c>
      <c r="V15" s="50" t="str">
        <f aca="false">IF(Q15="",V14,IF(V14="",Q15,V14&amp;"،  "&amp;Q15))</f>
        <v>مصفوفة الصلاحيات الشاملة</v>
      </c>
      <c r="W15" s="50" t="str">
        <f aca="false">IF(R15="",W14,IF(W14="",R15,W14&amp;"،  "&amp;R15))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</v>
      </c>
      <c r="X15" s="50" t="str">
        <f aca="false">IF(S15="",X14,IF(X14="",S15,X14&amp;"،  "&amp;S15))</f>
        <v>مراجعة حالة المخرجات المتأخرة،  الموافقة على رفع لوائح اللجان للمجلس</v>
      </c>
      <c r="Y15" s="50" t="str">
        <f aca="false">IF(T15="",Y14,IF(Y14="",T15,Y14&amp;"،  "&amp;T15))</f>
        <v>تسريع اعتماد مصفوفة الصلاحيات الشاملة،  جدولة جلسة اعتماد لائحة مجلس الإدارة</v>
      </c>
    </row>
    <row r="16" customFormat="false" ht="15" hidden="false" customHeight="false" outlineLevel="0" collapsed="false">
      <c r="D16" s="50" t="s">
        <v>88</v>
      </c>
      <c r="E16" s="50" t="n">
        <f aca="false">COUNTIF(tblDeliverables[المختص / الجهة المراجعة],"المشتريات والمستودعات")</f>
        <v>0</v>
      </c>
      <c r="Q16" s="50" t="str">
        <f aca="false">IFERROR(IF(INDEX(tblDeliverables[مؤشر الالتزام الزمني],14)="متأخر",INDEX(tblDeliverables[المخرج],14),""),"")</f>
        <v/>
      </c>
      <c r="R16" s="50" t="str">
        <f aca="false">IFERROR(IF(AND(INDEX(tblDeliverables[الأولوية],14)="عالية",INDEX(tblDeliverables[الحالة الحالية],14)&lt;&gt;"معتمد ونافذ",INDEX(tblDeliverables[المخرج],14)&lt;&gt;""),INDEX(tblDeliverables[المخرج],14),""),"")</f>
        <v/>
      </c>
      <c r="S16" s="50" t="str">
        <f aca="false">IFERROR(IF(INDEX(tblMeetings[الحالة],14)="مفتوح",INDEX(tblMeetings[أهم القرارات],14),""),"")</f>
        <v/>
      </c>
      <c r="T16" s="50" t="str">
        <f aca="false">IFERROR(IF(AND(INDEX(tblMeetings[تاريخ الاستحقاق],14)&lt;&gt;"",INDEX(tblMeetings[تاريخ الاستحقاق],14)&gt;=TODAY(),INDEX(tblMeetings[تاريخ الاستحقاق],14)&lt;=TODAY()+14,INDEX(tblMeetings[الحالة],14)&lt;&gt;"مغلق"),INDEX(tblMeetings[الإجراءات المطلوبة],14),""),"")</f>
        <v/>
      </c>
      <c r="V16" s="50" t="str">
        <f aca="false">IF(Q16="",V15,IF(V15="",Q16,V15&amp;"،  "&amp;Q16))</f>
        <v>مصفوفة الصلاحيات الشاملة</v>
      </c>
      <c r="W16" s="50" t="str">
        <f aca="false">IF(R16="",W15,IF(W15="",R16,W15&amp;"،  "&amp;R16))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</v>
      </c>
      <c r="X16" s="50" t="str">
        <f aca="false">IF(S16="",X15,IF(X15="",S16,X15&amp;"،  "&amp;S16))</f>
        <v>مراجعة حالة المخرجات المتأخرة،  الموافقة على رفع لوائح اللجان للمجلس</v>
      </c>
      <c r="Y16" s="50" t="str">
        <f aca="false">IF(T16="",Y15,IF(Y15="",T16,Y15&amp;"،  "&amp;T16))</f>
        <v>تسريع اعتماد مصفوفة الصلاحيات الشاملة،  جدولة جلسة اعتماد لائحة مجلس الإدارة</v>
      </c>
    </row>
    <row r="17" customFormat="false" ht="15" hidden="false" customHeight="false" outlineLevel="0" collapsed="false">
      <c r="D17" s="50" t="s">
        <v>89</v>
      </c>
      <c r="E17" s="50" t="n">
        <f aca="false">COUNTIF(tblDeliverables[المختص / الجهة المراجعة],"الحلول القانونية")</f>
        <v>0</v>
      </c>
      <c r="Q17" s="50" t="str">
        <f aca="false">IFERROR(IF(INDEX(tblDeliverables[مؤشر الالتزام الزمني],15)="متأخر",INDEX(tblDeliverables[المخرج],15),""),"")</f>
        <v/>
      </c>
      <c r="R17" s="50" t="str">
        <f aca="false">IFERROR(IF(AND(INDEX(tblDeliverables[الأولوية],15)="عالية",INDEX(tblDeliverables[الحالة الحالية],15)&lt;&gt;"معتمد ونافذ",INDEX(tblDeliverables[المخرج],15)&lt;&gt;""),INDEX(tblDeliverables[المخرج],15),""),"")</f>
        <v>سياسة الاستثمار والشركات التابعة</v>
      </c>
      <c r="S17" s="50" t="str">
        <f aca="false">IFERROR(IF(INDEX(tblMeetings[الحالة],15)="مفتوح",INDEX(tblMeetings[أهم القرارات],15),""),"")</f>
        <v/>
      </c>
      <c r="T17" s="50" t="str">
        <f aca="false">IFERROR(IF(AND(INDEX(tblMeetings[تاريخ الاستحقاق],15)&lt;&gt;"",INDEX(tblMeetings[تاريخ الاستحقاق],15)&gt;=TODAY(),INDEX(tblMeetings[تاريخ الاستحقاق],15)&lt;=TODAY()+14,INDEX(tblMeetings[الحالة],15)&lt;&gt;"مغلق"),INDEX(tblMeetings[الإجراءات المطلوبة],15),""),"")</f>
        <v/>
      </c>
      <c r="V17" s="50" t="str">
        <f aca="false">IF(Q17="",V16,IF(V16="",Q17,V16&amp;"،  "&amp;Q17))</f>
        <v>مصفوفة الصلاحيات الشاملة</v>
      </c>
      <c r="W17" s="50" t="str">
        <f aca="false">IF(R17="",W16,IF(W16="",R17,W16&amp;"،  "&amp;R17))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</v>
      </c>
      <c r="X17" s="50" t="str">
        <f aca="false">IF(S17="",X16,IF(X16="",S17,X16&amp;"،  "&amp;S17))</f>
        <v>مراجعة حالة المخرجات المتأخرة،  الموافقة على رفع لوائح اللجان للمجلس</v>
      </c>
      <c r="Y17" s="50" t="str">
        <f aca="false">IF(T17="",Y16,IF(Y16="",T17,Y16&amp;"،  "&amp;T17))</f>
        <v>تسريع اعتماد مصفوفة الصلاحيات الشاملة،  جدولة جلسة اعتماد لائحة مجلس الإدارة</v>
      </c>
    </row>
    <row r="18" customFormat="false" ht="15" hidden="false" customHeight="false" outlineLevel="0" collapsed="false">
      <c r="D18" s="50" t="s">
        <v>6</v>
      </c>
      <c r="E18" s="50" t="n">
        <f aca="false">COUNTIF(tblDeliverables[المختص / الجهة المراجعة],"فريق الحوكمة")</f>
        <v>1</v>
      </c>
      <c r="Q18" s="50" t="str">
        <f aca="false">IFERROR(IF(INDEX(tblDeliverables[مؤشر الالتزام الزمني],16)="متأخر",INDEX(tblDeliverables[المخرج],16),""),"")</f>
        <v/>
      </c>
      <c r="R18" s="50" t="str">
        <f aca="false">IFERROR(IF(AND(INDEX(tblDeliverables[الأولوية],16)="عالية",INDEX(tblDeliverables[الحالة الحالية],16)&lt;&gt;"معتمد ونافذ",INDEX(tblDeliverables[المخرج],16)&lt;&gt;""),INDEX(tblDeliverables[المخرج],16),""),"")</f>
        <v/>
      </c>
      <c r="S18" s="50" t="str">
        <f aca="false">IFERROR(IF(INDEX(tblMeetings[الحالة],16)="مفتوح",INDEX(tblMeetings[أهم القرارات],16),""),"")</f>
        <v/>
      </c>
      <c r="T18" s="50" t="str">
        <f aca="false">IFERROR(IF(AND(INDEX(tblMeetings[تاريخ الاستحقاق],16)&lt;&gt;"",INDEX(tblMeetings[تاريخ الاستحقاق],16)&gt;=TODAY(),INDEX(tblMeetings[تاريخ الاستحقاق],16)&lt;=TODAY()+14,INDEX(tblMeetings[الحالة],16)&lt;&gt;"مغلق"),INDEX(tblMeetings[الإجراءات المطلوبة],16),""),"")</f>
        <v/>
      </c>
      <c r="V18" s="50" t="str">
        <f aca="false">IF(Q18="",V17,IF(V17="",Q18,V17&amp;"،  "&amp;Q18))</f>
        <v>مصفوفة الصلاحيات الشاملة</v>
      </c>
      <c r="W18" s="50" t="str">
        <f aca="false">IF(R18="",W17,IF(W17="",R18,W17&amp;"،  "&amp;R18))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</v>
      </c>
      <c r="X18" s="50" t="str">
        <f aca="false">IF(S18="",X17,IF(X17="",S18,X17&amp;"،  "&amp;S18))</f>
        <v>مراجعة حالة المخرجات المتأخرة،  الموافقة على رفع لوائح اللجان للمجلس</v>
      </c>
      <c r="Y18" s="50" t="str">
        <f aca="false">IF(T18="",Y17,IF(Y17="",T18,Y17&amp;"،  "&amp;T18))</f>
        <v>تسريع اعتماد مصفوفة الصلاحيات الشاملة،  جدولة جلسة اعتماد لائحة مجلس الإدارة</v>
      </c>
    </row>
    <row r="19" customFormat="false" ht="15" hidden="false" customHeight="false" outlineLevel="0" collapsed="false">
      <c r="Q19" s="50" t="str">
        <f aca="false">IFERROR(IF(INDEX(tblDeliverables[مؤشر الالتزام الزمني],17)="متأخر",INDEX(tblDeliverables[المخرج],17),""),"")</f>
        <v/>
      </c>
      <c r="R19" s="50" t="str">
        <f aca="false">IFERROR(IF(AND(INDEX(tblDeliverables[الأولوية],17)="عالية",INDEX(tblDeliverables[الحالة الحالية],17)&lt;&gt;"معتمد ونافذ",INDEX(tblDeliverables[المخرج],17)&lt;&gt;""),INDEX(tblDeliverables[المخرج],17),""),"")</f>
        <v>تطوير الاستراتيجية الشاملة للمجموعة</v>
      </c>
      <c r="S19" s="50" t="str">
        <f aca="false">IFERROR(IF(INDEX(tblMeetings[الحالة],17)="مفتوح",INDEX(tblMeetings[أهم القرارات],17),""),"")</f>
        <v/>
      </c>
      <c r="T19" s="50" t="str">
        <f aca="false">IFERROR(IF(AND(INDEX(tblMeetings[تاريخ الاستحقاق],17)&lt;&gt;"",INDEX(tblMeetings[تاريخ الاستحقاق],17)&gt;=TODAY(),INDEX(tblMeetings[تاريخ الاستحقاق],17)&lt;=TODAY()+14,INDEX(tblMeetings[الحالة],17)&lt;&gt;"مغلق"),INDEX(tblMeetings[الإجراءات المطلوبة],17),""),"")</f>
        <v/>
      </c>
      <c r="V19" s="50" t="str">
        <f aca="false">IF(Q19="",V18,IF(V18="",Q19,V18&amp;"،  "&amp;Q19))</f>
        <v>مصفوفة الصلاحيات الشاملة</v>
      </c>
      <c r="W19" s="50" t="str">
        <f aca="false">IF(R19="",W18,IF(W18="",R19,W18&amp;"،  "&amp;R19))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</v>
      </c>
      <c r="X19" s="50" t="str">
        <f aca="false">IF(S19="",X18,IF(X18="",S19,X18&amp;"،  "&amp;S19))</f>
        <v>مراجعة حالة المخرجات المتأخرة،  الموافقة على رفع لوائح اللجان للمجلس</v>
      </c>
      <c r="Y19" s="50" t="str">
        <f aca="false">IF(T19="",Y18,IF(Y18="",T19,Y18&amp;"،  "&amp;T19))</f>
        <v>تسريع اعتماد مصفوفة الصلاحيات الشاملة،  جدولة جلسة اعتماد لائحة مجلس الإدارة</v>
      </c>
    </row>
    <row r="20" customFormat="false" ht="15" hidden="false" customHeight="false" outlineLevel="0" collapsed="false">
      <c r="Q20" s="50" t="str">
        <f aca="false">IFERROR(IF(INDEX(tblDeliverables[مؤشر الالتزام الزمني],18)="متأخر",INDEX(tblDeliverables[المخرج],18),""),"")</f>
        <v/>
      </c>
      <c r="R20" s="50" t="str">
        <f aca="false">IFERROR(IF(AND(INDEX(tblDeliverables[الأولوية],18)="عالية",INDEX(tblDeliverables[الحالة الحالية],18)&lt;&gt;"معتمد ونافذ",INDEX(tblDeliverables[المخرج],18)&lt;&gt;""),INDEX(tblDeliverables[المخرج],18),""),"")</f>
        <v/>
      </c>
      <c r="S20" s="50" t="str">
        <f aca="false">IFERROR(IF(INDEX(tblMeetings[الحالة],18)="مفتوح",INDEX(tblMeetings[أهم القرارات],18),""),"")</f>
        <v/>
      </c>
      <c r="T20" s="50" t="str">
        <f aca="false">IFERROR(IF(AND(INDEX(tblMeetings[تاريخ الاستحقاق],18)&lt;&gt;"",INDEX(tblMeetings[تاريخ الاستحقاق],18)&gt;=TODAY(),INDEX(tblMeetings[تاريخ الاستحقاق],18)&lt;=TODAY()+14,INDEX(tblMeetings[الحالة],18)&lt;&gt;"مغلق"),INDEX(tblMeetings[الإجراءات المطلوبة],18),""),"")</f>
        <v/>
      </c>
      <c r="V20" s="50" t="str">
        <f aca="false">IF(Q20="",V19,IF(V19="",Q20,V19&amp;"،  "&amp;Q20))</f>
        <v>مصفوفة الصلاحيات الشاملة</v>
      </c>
      <c r="W20" s="50" t="str">
        <f aca="false">IF(R20="",W19,IF(W19="",R20,W19&amp;"،  "&amp;R20))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</v>
      </c>
      <c r="X20" s="50" t="str">
        <f aca="false">IF(S20="",X19,IF(X19="",S20,X19&amp;"،  "&amp;S20))</f>
        <v>مراجعة حالة المخرجات المتأخرة،  الموافقة على رفع لوائح اللجان للمجلس</v>
      </c>
      <c r="Y20" s="50" t="str">
        <f aca="false">IF(T20="",Y19,IF(Y19="",T20,Y19&amp;"،  "&amp;T20))</f>
        <v>تسريع اعتماد مصفوفة الصلاحيات الشاملة،  جدولة جلسة اعتماد لائحة مجلس الإدارة</v>
      </c>
    </row>
    <row r="21" customFormat="false" ht="15" hidden="false" customHeight="false" outlineLevel="0" collapsed="false">
      <c r="Q21" s="50" t="str">
        <f aca="false">IFERROR(IF(INDEX(tblDeliverables[مؤشر الالتزام الزمني],19)="متأخر",INDEX(tblDeliverables[المخرج],19),""),"")</f>
        <v/>
      </c>
      <c r="R21" s="50" t="str">
        <f aca="false">IFERROR(IF(AND(INDEX(tblDeliverables[الأولوية],19)="عالية",INDEX(tblDeliverables[الحالة الحالية],19)&lt;&gt;"معتمد ونافذ",INDEX(tblDeliverables[المخرج],19)&lt;&gt;""),INDEX(tblDeliverables[المخرج],19),""),"")</f>
        <v/>
      </c>
      <c r="S21" s="50" t="str">
        <f aca="false">IFERROR(IF(INDEX(tblMeetings[الحالة],19)="مفتوح",INDEX(tblMeetings[أهم القرارات],19),""),"")</f>
        <v/>
      </c>
      <c r="T21" s="50" t="str">
        <f aca="false">IFERROR(IF(AND(INDEX(tblMeetings[تاريخ الاستحقاق],19)&lt;&gt;"",INDEX(tblMeetings[تاريخ الاستحقاق],19)&gt;=TODAY(),INDEX(tblMeetings[تاريخ الاستحقاق],19)&lt;=TODAY()+14,INDEX(tblMeetings[الحالة],19)&lt;&gt;"مغلق"),INDEX(tblMeetings[الإجراءات المطلوبة],19),""),"")</f>
        <v/>
      </c>
      <c r="V21" s="50" t="str">
        <f aca="false">IF(Q21="",V20,IF(V20="",Q21,V20&amp;"،  "&amp;Q21))</f>
        <v>مصفوفة الصلاحيات الشاملة</v>
      </c>
      <c r="W21" s="50" t="str">
        <f aca="false">IF(R21="",W20,IF(W20="",R21,W20&amp;"،  "&amp;R21))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</v>
      </c>
      <c r="X21" s="50" t="str">
        <f aca="false">IF(S21="",X20,IF(X20="",S21,X20&amp;"،  "&amp;S21))</f>
        <v>مراجعة حالة المخرجات المتأخرة،  الموافقة على رفع لوائح اللجان للمجلس</v>
      </c>
      <c r="Y21" s="50" t="str">
        <f aca="false">IF(T21="",Y20,IF(Y20="",T21,Y20&amp;"،  "&amp;T21))</f>
        <v>تسريع اعتماد مصفوفة الصلاحيات الشاملة،  جدولة جلسة اعتماد لائحة مجلس الإدارة</v>
      </c>
    </row>
    <row r="22" customFormat="false" ht="15" hidden="false" customHeight="false" outlineLevel="0" collapsed="false">
      <c r="Q22" s="50" t="str">
        <f aca="false">IFERROR(IF(INDEX(tblDeliverables[مؤشر الالتزام الزمني],20)="متأخر",INDEX(tblDeliverables[المخرج],20),""),"")</f>
        <v/>
      </c>
      <c r="R22" s="50" t="str">
        <f aca="false">IFERROR(IF(AND(INDEX(tblDeliverables[الأولوية],20)="عالية",INDEX(tblDeliverables[الحالة الحالية],20)&lt;&gt;"معتمد ونافذ",INDEX(tblDeliverables[المخرج],20)&lt;&gt;""),INDEX(tblDeliverables[المخرج],20),""),"")</f>
        <v/>
      </c>
      <c r="S22" s="50" t="str">
        <f aca="false">IFERROR(IF(INDEX(tblMeetings[الحالة],20)="مفتوح",INDEX(tblMeetings[أهم القرارات],20),""),"")</f>
        <v/>
      </c>
      <c r="T22" s="50" t="str">
        <f aca="false">IFERROR(IF(AND(INDEX(tblMeetings[تاريخ الاستحقاق],20)&lt;&gt;"",INDEX(tblMeetings[تاريخ الاستحقاق],20)&gt;=TODAY(),INDEX(tblMeetings[تاريخ الاستحقاق],20)&lt;=TODAY()+14,INDEX(tblMeetings[الحالة],20)&lt;&gt;"مغلق"),INDEX(tblMeetings[الإجراءات المطلوبة],20),""),"")</f>
        <v/>
      </c>
      <c r="V22" s="50" t="str">
        <f aca="false">IF(Q22="",V21,IF(V21="",Q22,V21&amp;"،  "&amp;Q22))</f>
        <v>مصفوفة الصلاحيات الشاملة</v>
      </c>
      <c r="W22" s="50" t="str">
        <f aca="false">IF(R22="",W21,IF(W21="",R22,W21&amp;"،  "&amp;R22))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</v>
      </c>
      <c r="X22" s="50" t="str">
        <f aca="false">IF(S22="",X21,IF(X21="",S22,X21&amp;"،  "&amp;S22))</f>
        <v>مراجعة حالة المخرجات المتأخرة،  الموافقة على رفع لوائح اللجان للمجلس</v>
      </c>
      <c r="Y22" s="50" t="str">
        <f aca="false">IF(T22="",Y21,IF(Y21="",T22,Y21&amp;"،  "&amp;T22))</f>
        <v>تسريع اعتماد مصفوفة الصلاحيات الشاملة،  جدولة جلسة اعتماد لائحة مجلس الإدارة</v>
      </c>
    </row>
    <row r="23" customFormat="false" ht="15" hidden="false" customHeight="false" outlineLevel="0" collapsed="false">
      <c r="Q23" s="50" t="str">
        <f aca="false">IFERROR(IF(INDEX(tblDeliverables[مؤشر الالتزام الزمني],21)="متأخر",INDEX(tblDeliverables[المخرج],21),""),"")</f>
        <v/>
      </c>
      <c r="R23" s="50" t="str">
        <f aca="false">IFERROR(IF(AND(INDEX(tblDeliverables[الأولوية],21)="عالية",INDEX(tblDeliverables[الحالة الحالية],21)&lt;&gt;"معتمد ونافذ",INDEX(tblDeliverables[المخرج],21)&lt;&gt;""),INDEX(tblDeliverables[المخرج],21),""),"")</f>
        <v/>
      </c>
      <c r="S23" s="50" t="str">
        <f aca="false">IFERROR(IF(INDEX(tblMeetings[الحالة],21)="مفتوح",INDEX(tblMeetings[أهم القرارات],21),""),"")</f>
        <v/>
      </c>
      <c r="T23" s="50" t="str">
        <f aca="false">IFERROR(IF(AND(INDEX(tblMeetings[تاريخ الاستحقاق],21)&lt;&gt;"",INDEX(tblMeetings[تاريخ الاستحقاق],21)&gt;=TODAY(),INDEX(tblMeetings[تاريخ الاستحقاق],21)&lt;=TODAY()+14,INDEX(tblMeetings[الحالة],21)&lt;&gt;"مغلق"),INDEX(tblMeetings[الإجراءات المطلوبة],21),""),"")</f>
        <v/>
      </c>
      <c r="V23" s="50" t="str">
        <f aca="false">IF(Q23="",V22,IF(V22="",Q23,V22&amp;"،  "&amp;Q23))</f>
        <v>مصفوفة الصلاحيات الشاملة</v>
      </c>
      <c r="W23" s="50" t="str">
        <f aca="false">IF(R23="",W22,IF(W22="",R23,W22&amp;"،  "&amp;R23))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</v>
      </c>
      <c r="X23" s="50" t="str">
        <f aca="false">IF(S23="",X22,IF(X22="",S23,X22&amp;"،  "&amp;S23))</f>
        <v>مراجعة حالة المخرجات المتأخرة،  الموافقة على رفع لوائح اللجان للمجلس</v>
      </c>
      <c r="Y23" s="50" t="str">
        <f aca="false">IF(T23="",Y22,IF(Y22="",T23,Y22&amp;"،  "&amp;T23))</f>
        <v>تسريع اعتماد مصفوفة الصلاحيات الشاملة،  جدولة جلسة اعتماد لائحة مجلس الإدارة</v>
      </c>
    </row>
    <row r="24" customFormat="false" ht="15" hidden="false" customHeight="false" outlineLevel="0" collapsed="false">
      <c r="Q24" s="50" t="str">
        <f aca="false">IFERROR(IF(INDEX(tblDeliverables[مؤشر الالتزام الزمني],22)="متأخر",INDEX(tblDeliverables[المخرج],22),""),"")</f>
        <v/>
      </c>
      <c r="R24" s="50" t="str">
        <f aca="false">IFERROR(IF(AND(INDEX(tblDeliverables[الأولوية],22)="عالية",INDEX(tblDeliverables[الحالة الحالية],22)&lt;&gt;"معتمد ونافذ",INDEX(tblDeliverables[المخرج],22)&lt;&gt;""),INDEX(tblDeliverables[المخرج],22),""),"")</f>
        <v>مؤشرات الأداء الاستراتيجية</v>
      </c>
      <c r="S24" s="50" t="str">
        <f aca="false">IFERROR(IF(INDEX(tblMeetings[الحالة],22)="مفتوح",INDEX(tblMeetings[أهم القرارات],22),""),"")</f>
        <v/>
      </c>
      <c r="T24" s="50" t="str">
        <f aca="false">IFERROR(IF(AND(INDEX(tblMeetings[تاريخ الاستحقاق],22)&lt;&gt;"",INDEX(tblMeetings[تاريخ الاستحقاق],22)&gt;=TODAY(),INDEX(tblMeetings[تاريخ الاستحقاق],22)&lt;=TODAY()+14,INDEX(tblMeetings[الحالة],22)&lt;&gt;"مغلق"),INDEX(tblMeetings[الإجراءات المطلوبة],22),""),"")</f>
        <v/>
      </c>
      <c r="V24" s="50" t="str">
        <f aca="false">IF(Q24="",V23,IF(V23="",Q24,V23&amp;"،  "&amp;Q24))</f>
        <v>مصفوفة الصلاحيات الشاملة</v>
      </c>
      <c r="W24" s="50" t="str">
        <f aca="false">IF(R24="",W23,IF(W23="",R24,W23&amp;"،  "&amp;R24))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4" s="50" t="str">
        <f aca="false">IF(S24="",X23,IF(X23="",S24,X23&amp;"،  "&amp;S24))</f>
        <v>مراجعة حالة المخرجات المتأخرة،  الموافقة على رفع لوائح اللجان للمجلس</v>
      </c>
      <c r="Y24" s="50" t="str">
        <f aca="false">IF(T24="",Y23,IF(Y23="",T24,Y23&amp;"،  "&amp;T24))</f>
        <v>تسريع اعتماد مصفوفة الصلاحيات الشاملة،  جدولة جلسة اعتماد لائحة مجلس الإدارة</v>
      </c>
    </row>
    <row r="25" customFormat="false" ht="15" hidden="false" customHeight="false" outlineLevel="0" collapsed="false">
      <c r="Q25" s="50" t="str">
        <f aca="false">IFERROR(IF(INDEX(tblDeliverables[مؤشر الالتزام الزمني],23)="متأخر",INDEX(tblDeliverables[المخرج],23),""),"")</f>
        <v/>
      </c>
      <c r="R25" s="50" t="str">
        <f aca="false">IFERROR(IF(AND(INDEX(tblDeliverables[الأولوية],23)="عالية",INDEX(tblDeliverables[الحالة الحالية],23)&lt;&gt;"معتمد ونافذ",INDEX(tblDeliverables[المخرج],23)&lt;&gt;""),INDEX(tblDeliverables[المخرج],23),""),"")</f>
        <v/>
      </c>
      <c r="S25" s="50" t="str">
        <f aca="false">IFERROR(IF(INDEX(tblMeetings[الحالة],23)="مفتوح",INDEX(tblMeetings[أهم القرارات],23),""),"")</f>
        <v/>
      </c>
      <c r="T25" s="50" t="str">
        <f aca="false">IFERROR(IF(AND(INDEX(tblMeetings[تاريخ الاستحقاق],23)&lt;&gt;"",INDEX(tblMeetings[تاريخ الاستحقاق],23)&gt;=TODAY(),INDEX(tblMeetings[تاريخ الاستحقاق],23)&lt;=TODAY()+14,INDEX(tblMeetings[الحالة],23)&lt;&gt;"مغلق"),INDEX(tblMeetings[الإجراءات المطلوبة],23),""),"")</f>
        <v/>
      </c>
      <c r="V25" s="50" t="str">
        <f aca="false">IF(Q25="",V24,IF(V24="",Q25,V24&amp;"،  "&amp;Q25))</f>
        <v>مصفوفة الصلاحيات الشاملة</v>
      </c>
      <c r="W25" s="50" t="str">
        <f aca="false">IF(R25="",W24,IF(W24="",R25,W24&amp;"،  "&amp;R25))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5" s="50" t="str">
        <f aca="false">IF(S25="",X24,IF(X24="",S25,X24&amp;"،  "&amp;S25))</f>
        <v>مراجعة حالة المخرجات المتأخرة،  الموافقة على رفع لوائح اللجان للمجلس</v>
      </c>
      <c r="Y25" s="50" t="str">
        <f aca="false">IF(T25="",Y24,IF(Y24="",T25,Y24&amp;"،  "&amp;T25))</f>
        <v>تسريع اعتماد مصفوفة الصلاحيات الشاملة،  جدولة جلسة اعتماد لائحة مجلس الإدارة</v>
      </c>
    </row>
    <row r="26" customFormat="false" ht="15" hidden="false" customHeight="false" outlineLevel="0" collapsed="false">
      <c r="Q26" s="50" t="str">
        <f aca="false">IFERROR(IF(INDEX(tblDeliverables[مؤشر الالتزام الزمني],24)="متأخر",INDEX(tblDeliverables[المخرج],24),""),"")</f>
        <v/>
      </c>
      <c r="R26" s="50" t="str">
        <f aca="false">IFERROR(IF(AND(INDEX(tblDeliverables[الأولوية],24)="عالية",INDEX(tblDeliverables[الحالة الحالية],24)&lt;&gt;"معتمد ونافذ",INDEX(tblDeliverables[المخرج],24)&lt;&gt;""),INDEX(tblDeliverables[المخرج],24),""),"")</f>
        <v/>
      </c>
      <c r="S26" s="50" t="str">
        <f aca="false">IFERROR(IF(INDEX(tblMeetings[الحالة],24)="مفتوح",INDEX(tblMeetings[أهم القرارات],24),""),"")</f>
        <v/>
      </c>
      <c r="T26" s="50" t="str">
        <f aca="false">IFERROR(IF(AND(INDEX(tblMeetings[تاريخ الاستحقاق],24)&lt;&gt;"",INDEX(tblMeetings[تاريخ الاستحقاق],24)&gt;=TODAY(),INDEX(tblMeetings[تاريخ الاستحقاق],24)&lt;=TODAY()+14,INDEX(tblMeetings[الحالة],24)&lt;&gt;"مغلق"),INDEX(tblMeetings[الإجراءات المطلوبة],24),""),"")</f>
        <v/>
      </c>
      <c r="V26" s="50" t="str">
        <f aca="false">IF(Q26="",V25,IF(V25="",Q26,V25&amp;"،  "&amp;Q26))</f>
        <v>مصفوفة الصلاحيات الشاملة</v>
      </c>
      <c r="W26" s="50" t="str">
        <f aca="false">IF(R26="",W25,IF(W25="",R26,W25&amp;"،  "&amp;R26))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6" s="50" t="str">
        <f aca="false">IF(S26="",X25,IF(X25="",S26,X25&amp;"،  "&amp;S26))</f>
        <v>مراجعة حالة المخرجات المتأخرة،  الموافقة على رفع لوائح اللجان للمجلس</v>
      </c>
      <c r="Y26" s="50" t="str">
        <f aca="false">IF(T26="",Y25,IF(Y25="",T26,Y25&amp;"،  "&amp;T26))</f>
        <v>تسريع اعتماد مصفوفة الصلاحيات الشاملة،  جدولة جلسة اعتماد لائحة مجلس الإدارة</v>
      </c>
    </row>
    <row r="27" customFormat="false" ht="15" hidden="false" customHeight="false" outlineLevel="0" collapsed="false">
      <c r="Q27" s="50" t="str">
        <f aca="false">IFERROR(IF(INDEX(tblDeliverables[مؤشر الالتزام الزمني],25)="متأخر",INDEX(tblDeliverables[المخرج],25),""),"")</f>
        <v/>
      </c>
      <c r="R27" s="50" t="str">
        <f aca="false">IFERROR(IF(AND(INDEX(tblDeliverables[الأولوية],25)="عالية",INDEX(tblDeliverables[الحالة الحالية],25)&lt;&gt;"معتمد ونافذ",INDEX(tblDeliverables[المخرج],25)&lt;&gt;""),INDEX(tblDeliverables[المخرج],25),""),"")</f>
        <v/>
      </c>
      <c r="S27" s="50" t="str">
        <f aca="false">IFERROR(IF(INDEX(tblMeetings[الحالة],25)="مفتوح",INDEX(tblMeetings[أهم القرارات],25),""),"")</f>
        <v/>
      </c>
      <c r="T27" s="50" t="str">
        <f aca="false">IFERROR(IF(AND(INDEX(tblMeetings[تاريخ الاستحقاق],25)&lt;&gt;"",INDEX(tblMeetings[تاريخ الاستحقاق],25)&gt;=TODAY(),INDEX(tblMeetings[تاريخ الاستحقاق],25)&lt;=TODAY()+14,INDEX(tblMeetings[الحالة],25)&lt;&gt;"مغلق"),INDEX(tblMeetings[الإجراءات المطلوبة],25),""),"")</f>
        <v/>
      </c>
      <c r="V27" s="50" t="str">
        <f aca="false">IF(Q27="",V26,IF(V26="",Q27,V26&amp;"،  "&amp;Q27))</f>
        <v>مصفوفة الصلاحيات الشاملة</v>
      </c>
      <c r="W27" s="50" t="str">
        <f aca="false">IF(R27="",W26,IF(W26="",R27,W26&amp;"،  "&amp;R27))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7" s="50" t="str">
        <f aca="false">IF(S27="",X26,IF(X26="",S27,X26&amp;"،  "&amp;S27))</f>
        <v>مراجعة حالة المخرجات المتأخرة،  الموافقة على رفع لوائح اللجان للمجلس</v>
      </c>
      <c r="Y27" s="50" t="str">
        <f aca="false">IF(T27="",Y26,IF(Y26="",T27,Y26&amp;"،  "&amp;T27))</f>
        <v>تسريع اعتماد مصفوفة الصلاحيات الشاملة،  جدولة جلسة اعتماد لائحة مجلس الإدارة</v>
      </c>
    </row>
    <row r="28" customFormat="false" ht="15" hidden="false" customHeight="false" outlineLevel="0" collapsed="false">
      <c r="Q28" s="50" t="str">
        <f aca="false">IFERROR(IF(INDEX(tblDeliverables[مؤشر الالتزام الزمني],26)="متأخر",INDEX(tblDeliverables[المخرج],26),""),"")</f>
        <v/>
      </c>
      <c r="R28" s="50" t="str">
        <f aca="false">IFERROR(IF(AND(INDEX(tblDeliverables[الأولوية],26)="عالية",INDEX(tblDeliverables[الحالة الحالية],26)&lt;&gt;"معتمد ونافذ",INDEX(tblDeliverables[المخرج],26)&lt;&gt;""),INDEX(tblDeliverables[المخرج],26),""),"")</f>
        <v/>
      </c>
      <c r="S28" s="50" t="str">
        <f aca="false">IFERROR(IF(INDEX(tblMeetings[الحالة],26)="مفتوح",INDEX(tblMeetings[أهم القرارات],26),""),"")</f>
        <v/>
      </c>
      <c r="T28" s="50" t="str">
        <f aca="false">IFERROR(IF(AND(INDEX(tblMeetings[تاريخ الاستحقاق],26)&lt;&gt;"",INDEX(tblMeetings[تاريخ الاستحقاق],26)&gt;=TODAY(),INDEX(tblMeetings[تاريخ الاستحقاق],26)&lt;=TODAY()+14,INDEX(tblMeetings[الحالة],26)&lt;&gt;"مغلق"),INDEX(tblMeetings[الإجراءات المطلوبة],26),""),"")</f>
        <v/>
      </c>
      <c r="V28" s="50" t="str">
        <f aca="false">IF(Q28="",V27,IF(V27="",Q28,V27&amp;"،  "&amp;Q28))</f>
        <v>مصفوفة الصلاحيات الشاملة</v>
      </c>
      <c r="W28" s="50" t="str">
        <f aca="false">IF(R28="",W27,IF(W27="",R28,W27&amp;"،  "&amp;R28))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8" s="50" t="str">
        <f aca="false">IF(S28="",X27,IF(X27="",S28,X27&amp;"،  "&amp;S28))</f>
        <v>مراجعة حالة المخرجات المتأخرة،  الموافقة على رفع لوائح اللجان للمجلس</v>
      </c>
      <c r="Y28" s="50" t="str">
        <f aca="false">IF(T28="",Y27,IF(Y27="",T28,Y27&amp;"،  "&amp;T28))</f>
        <v>تسريع اعتماد مصفوفة الصلاحيات الشاملة،  جدولة جلسة اعتماد لائحة مجلس الإدارة</v>
      </c>
    </row>
    <row r="29" customFormat="false" ht="15" hidden="false" customHeight="false" outlineLevel="0" collapsed="false">
      <c r="Q29" s="50" t="str">
        <f aca="false">IFERROR(IF(INDEX(tblDeliverables[مؤشر الالتزام الزمني],27)="متأخر",INDEX(tblDeliverables[المخرج],27),""),"")</f>
        <v/>
      </c>
      <c r="R29" s="50" t="str">
        <f aca="false">IFERROR(IF(AND(INDEX(tblDeliverables[الأولوية],27)="عالية",INDEX(tblDeliverables[الحالة الحالية],27)&lt;&gt;"معتمد ونافذ",INDEX(tblDeliverables[المخرج],27)&lt;&gt;""),INDEX(tblDeliverables[المخرج],27),""),"")</f>
        <v/>
      </c>
      <c r="S29" s="50" t="str">
        <f aca="false">IFERROR(IF(INDEX(tblMeetings[الحالة],27)="مفتوح",INDEX(tblMeetings[أهم القرارات],27),""),"")</f>
        <v/>
      </c>
      <c r="T29" s="50" t="str">
        <f aca="false">IFERROR(IF(AND(INDEX(tblMeetings[تاريخ الاستحقاق],27)&lt;&gt;"",INDEX(tblMeetings[تاريخ الاستحقاق],27)&gt;=TODAY(),INDEX(tblMeetings[تاريخ الاستحقاق],27)&lt;=TODAY()+14,INDEX(tblMeetings[الحالة],27)&lt;&gt;"مغلق"),INDEX(tblMeetings[الإجراءات المطلوبة],27),""),"")</f>
        <v/>
      </c>
      <c r="V29" s="50" t="str">
        <f aca="false">IF(Q29="",V28,IF(V28="",Q29,V28&amp;"،  "&amp;Q29))</f>
        <v>مصفوفة الصلاحيات الشاملة</v>
      </c>
      <c r="W29" s="50" t="str">
        <f aca="false">IF(R29="",W28,IF(W28="",R29,W28&amp;"،  "&amp;R29))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9" s="50" t="str">
        <f aca="false">IF(S29="",X28,IF(X28="",S29,X28&amp;"،  "&amp;S29))</f>
        <v>مراجعة حالة المخرجات المتأخرة،  الموافقة على رفع لوائح اللجان للمجلس</v>
      </c>
      <c r="Y29" s="50" t="str">
        <f aca="false">IF(T29="",Y28,IF(Y28="",T29,Y28&amp;"،  "&amp;T29))</f>
        <v>تسريع اعتماد مصفوفة الصلاحيات الشاملة،  جدولة جلسة اعتماد لائحة مجلس الإدارة</v>
      </c>
    </row>
    <row r="30" customFormat="false" ht="15" hidden="false" customHeight="false" outlineLevel="0" collapsed="false">
      <c r="Q30" s="50" t="str">
        <f aca="false">IFERROR(IF(INDEX(tblDeliverables[مؤشر الالتزام الزمني],28)="متأخر",INDEX(tblDeliverables[المخرج],28),""),"")</f>
        <v/>
      </c>
      <c r="R30" s="50" t="str">
        <f aca="false">IFERROR(IF(AND(INDEX(tblDeliverables[الأولوية],28)="عالية",INDEX(tblDeliverables[الحالة الحالية],28)&lt;&gt;"معتمد ونافذ",INDEX(tblDeliverables[المخرج],28)&lt;&gt;""),INDEX(tblDeliverables[المخرج],28),""),"")</f>
        <v/>
      </c>
      <c r="S30" s="50" t="str">
        <f aca="false">IFERROR(IF(INDEX(tblMeetings[الحالة],28)="مفتوح",INDEX(tblMeetings[أهم القرارات],28),""),"")</f>
        <v/>
      </c>
      <c r="T30" s="50" t="str">
        <f aca="false">IFERROR(IF(AND(INDEX(tblMeetings[تاريخ الاستحقاق],28)&lt;&gt;"",INDEX(tblMeetings[تاريخ الاستحقاق],28)&gt;=TODAY(),INDEX(tblMeetings[تاريخ الاستحقاق],28)&lt;=TODAY()+14,INDEX(tblMeetings[الحالة],28)&lt;&gt;"مغلق"),INDEX(tblMeetings[الإجراءات المطلوبة],28),""),"")</f>
        <v/>
      </c>
      <c r="V30" s="50" t="str">
        <f aca="false">IF(Q30="",V29,IF(V29="",Q30,V29&amp;"،  "&amp;Q30))</f>
        <v>مصفوفة الصلاحيات الشاملة</v>
      </c>
      <c r="W30" s="50" t="str">
        <f aca="false">IF(R30="",W29,IF(W29="",R30,W29&amp;"،  "&amp;R30))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0" s="50" t="str">
        <f aca="false">IF(S30="",X29,IF(X29="",S30,X29&amp;"،  "&amp;S30))</f>
        <v>مراجعة حالة المخرجات المتأخرة،  الموافقة على رفع لوائح اللجان للمجلس</v>
      </c>
      <c r="Y30" s="50" t="str">
        <f aca="false">IF(T30="",Y29,IF(Y29="",T30,Y29&amp;"،  "&amp;T30))</f>
        <v>تسريع اعتماد مصفوفة الصلاحيات الشاملة،  جدولة جلسة اعتماد لائحة مجلس الإدارة</v>
      </c>
    </row>
    <row r="31" customFormat="false" ht="15" hidden="false" customHeight="false" outlineLevel="0" collapsed="false">
      <c r="Q31" s="50" t="str">
        <f aca="false">IFERROR(IF(INDEX(tblDeliverables[مؤشر الالتزام الزمني],29)="متأخر",INDEX(tblDeliverables[المخرج],29),""),"")</f>
        <v/>
      </c>
      <c r="R31" s="50" t="str">
        <f aca="false">IFERROR(IF(AND(INDEX(tblDeliverables[الأولوية],29)="عالية",INDEX(tblDeliverables[الحالة الحالية],29)&lt;&gt;"معتمد ونافذ",INDEX(tblDeliverables[المخرج],29)&lt;&gt;""),INDEX(tblDeliverables[المخرج],29),""),"")</f>
        <v/>
      </c>
      <c r="S31" s="50" t="str">
        <f aca="false">IFERROR(IF(INDEX(tblMeetings[الحالة],29)="مفتوح",INDEX(tblMeetings[أهم القرارات],29),""),"")</f>
        <v/>
      </c>
      <c r="T31" s="50" t="str">
        <f aca="false">IFERROR(IF(AND(INDEX(tblMeetings[تاريخ الاستحقاق],29)&lt;&gt;"",INDEX(tblMeetings[تاريخ الاستحقاق],29)&gt;=TODAY(),INDEX(tblMeetings[تاريخ الاستحقاق],29)&lt;=TODAY()+14,INDEX(tblMeetings[الحالة],29)&lt;&gt;"مغلق"),INDEX(tblMeetings[الإجراءات المطلوبة],29),""),"")</f>
        <v/>
      </c>
      <c r="V31" s="50" t="str">
        <f aca="false">IF(Q31="",V30,IF(V30="",Q31,V30&amp;"،  "&amp;Q31))</f>
        <v>مصفوفة الصلاحيات الشاملة</v>
      </c>
      <c r="W31" s="50" t="str">
        <f aca="false">IF(R31="",W30,IF(W30="",R31,W30&amp;"،  "&amp;R31))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1" s="50" t="str">
        <f aca="false">IF(S31="",X30,IF(X30="",S31,X30&amp;"،  "&amp;S31))</f>
        <v>مراجعة حالة المخرجات المتأخرة،  الموافقة على رفع لوائح اللجان للمجلس</v>
      </c>
      <c r="Y31" s="50" t="str">
        <f aca="false">IF(T31="",Y30,IF(Y30="",T31,Y30&amp;"،  "&amp;T31))</f>
        <v>تسريع اعتماد مصفوفة الصلاحيات الشاملة،  جدولة جلسة اعتماد لائحة مجلس الإدارة</v>
      </c>
    </row>
    <row r="32" customFormat="false" ht="15" hidden="false" customHeight="false" outlineLevel="0" collapsed="false">
      <c r="Q32" s="50" t="str">
        <f aca="false">IFERROR(IF(INDEX(tblDeliverables[مؤشر الالتزام الزمني],30)="متأخر",INDEX(tblDeliverables[المخرج],30),""),"")</f>
        <v/>
      </c>
      <c r="R32" s="50" t="str">
        <f aca="false">IFERROR(IF(AND(INDEX(tblDeliverables[الأولوية],30)="عالية",INDEX(tblDeliverables[الحالة الحالية],30)&lt;&gt;"معتمد ونافذ",INDEX(tblDeliverables[المخرج],30)&lt;&gt;""),INDEX(tblDeliverables[المخرج],30),""),"")</f>
        <v/>
      </c>
      <c r="S32" s="50" t="str">
        <f aca="false">IFERROR(IF(INDEX(tblMeetings[الحالة],30)="مفتوح",INDEX(tblMeetings[أهم القرارات],30),""),"")</f>
        <v/>
      </c>
      <c r="T32" s="50" t="str">
        <f aca="false">IFERROR(IF(AND(INDEX(tblMeetings[تاريخ الاستحقاق],30)&lt;&gt;"",INDEX(tblMeetings[تاريخ الاستحقاق],30)&gt;=TODAY(),INDEX(tblMeetings[تاريخ الاستحقاق],30)&lt;=TODAY()+14,INDEX(tblMeetings[الحالة],30)&lt;&gt;"مغلق"),INDEX(tblMeetings[الإجراءات المطلوبة],30),""),"")</f>
        <v/>
      </c>
      <c r="V32" s="50" t="str">
        <f aca="false">IF(Q32="",V31,IF(V31="",Q32,V31&amp;"،  "&amp;Q32))</f>
        <v>مصفوفة الصلاحيات الشاملة</v>
      </c>
      <c r="W32" s="50" t="str">
        <f aca="false">IF(R32="",W31,IF(W31="",R32,W31&amp;"،  "&amp;R32))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2" s="50" t="str">
        <f aca="false">IF(S32="",X31,IF(X31="",S32,X31&amp;"،  "&amp;S32))</f>
        <v>مراجعة حالة المخرجات المتأخرة،  الموافقة على رفع لوائح اللجان للمجلس</v>
      </c>
      <c r="Y32" s="50" t="str">
        <f aca="false">IF(T32="",Y31,IF(Y31="",T32,Y31&amp;"،  "&amp;T32))</f>
        <v>تسريع اعتماد مصفوفة الصلاحيات الشاملة،  جدولة جلسة اعتماد لائحة مجلس الإدارة</v>
      </c>
    </row>
    <row r="33" customFormat="false" ht="15" hidden="false" customHeight="false" outlineLevel="0" collapsed="false">
      <c r="Q33" s="50" t="str">
        <f aca="false">IFERROR(IF(INDEX(tblDeliverables[مؤشر الالتزام الزمني],31)="متأخر",INDEX(tblDeliverables[المخرج],31),""),"")</f>
        <v/>
      </c>
      <c r="R33" s="50" t="str">
        <f aca="false">IFERROR(IF(AND(INDEX(tblDeliverables[الأولوية],31)="عالية",INDEX(tblDeliverables[الحالة الحالية],31)&lt;&gt;"معتمد ونافذ",INDEX(tblDeliverables[المخرج],31)&lt;&gt;""),INDEX(tblDeliverables[المخرج],31),""),"")</f>
        <v/>
      </c>
      <c r="S33" s="50" t="str">
        <f aca="false">IFERROR(IF(INDEX(tblMeetings[الحالة],31)="مفتوح",INDEX(tblMeetings[أهم القرارات],31),""),"")</f>
        <v/>
      </c>
      <c r="T33" s="50" t="str">
        <f aca="false">IFERROR(IF(AND(INDEX(tblMeetings[تاريخ الاستحقاق],31)&lt;&gt;"",INDEX(tblMeetings[تاريخ الاستحقاق],31)&gt;=TODAY(),INDEX(tblMeetings[تاريخ الاستحقاق],31)&lt;=TODAY()+14,INDEX(tblMeetings[الحالة],31)&lt;&gt;"مغلق"),INDEX(tblMeetings[الإجراءات المطلوبة],31),""),"")</f>
        <v/>
      </c>
      <c r="V33" s="50" t="str">
        <f aca="false">IF(Q33="",V32,IF(V32="",Q33,V32&amp;"،  "&amp;Q33))</f>
        <v>مصفوفة الصلاحيات الشاملة</v>
      </c>
      <c r="W33" s="50" t="str">
        <f aca="false">IF(R33="",W32,IF(W32="",R33,W32&amp;"،  "&amp;R33))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3" s="50" t="str">
        <f aca="false">IF(S33="",X32,IF(X32="",S33,X32&amp;"،  "&amp;S33))</f>
        <v>مراجعة حالة المخرجات المتأخرة،  الموافقة على رفع لوائح اللجان للمجلس</v>
      </c>
      <c r="Y33" s="50" t="str">
        <f aca="false">IF(T33="",Y32,IF(Y32="",T33,Y32&amp;"،  "&amp;T33))</f>
        <v>تسريع اعتماد مصفوفة الصلاحيات الشاملة،  جدولة جلسة اعتماد لائحة مجلس الإدارة</v>
      </c>
    </row>
    <row r="34" customFormat="false" ht="15" hidden="false" customHeight="false" outlineLevel="0" collapsed="false">
      <c r="Q34" s="50" t="str">
        <f aca="false">IFERROR(IF(INDEX(tblDeliverables[مؤشر الالتزام الزمني],32)="متأخر",INDEX(tblDeliverables[المخرج],32),""),"")</f>
        <v/>
      </c>
      <c r="R34" s="50" t="str">
        <f aca="false">IFERROR(IF(AND(INDEX(tblDeliverables[الأولوية],32)="عالية",INDEX(tblDeliverables[الحالة الحالية],32)&lt;&gt;"معتمد ونافذ",INDEX(tblDeliverables[المخرج],32)&lt;&gt;""),INDEX(tblDeliverables[المخرج],32),""),"")</f>
        <v/>
      </c>
      <c r="S34" s="50" t="str">
        <f aca="false">IFERROR(IF(INDEX(tblMeetings[الحالة],32)="مفتوح",INDEX(tblMeetings[أهم القرارات],32),""),"")</f>
        <v/>
      </c>
      <c r="T34" s="50" t="str">
        <f aca="false">IFERROR(IF(AND(INDEX(tblMeetings[تاريخ الاستحقاق],32)&lt;&gt;"",INDEX(tblMeetings[تاريخ الاستحقاق],32)&gt;=TODAY(),INDEX(tblMeetings[تاريخ الاستحقاق],32)&lt;=TODAY()+14,INDEX(tblMeetings[الحالة],32)&lt;&gt;"مغلق"),INDEX(tblMeetings[الإجراءات المطلوبة],32),""),"")</f>
        <v/>
      </c>
      <c r="V34" s="50" t="str">
        <f aca="false">IF(Q34="",V33,IF(V33="",Q34,V33&amp;"،  "&amp;Q34))</f>
        <v>مصفوفة الصلاحيات الشاملة</v>
      </c>
      <c r="W34" s="50" t="str">
        <f aca="false">IF(R34="",W33,IF(W33="",R34,W33&amp;"،  "&amp;R34))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4" s="50" t="str">
        <f aca="false">IF(S34="",X33,IF(X33="",S34,X33&amp;"،  "&amp;S34))</f>
        <v>مراجعة حالة المخرجات المتأخرة،  الموافقة على رفع لوائح اللجان للمجلس</v>
      </c>
      <c r="Y34" s="50" t="str">
        <f aca="false">IF(T34="",Y33,IF(Y33="",T34,Y33&amp;"،  "&amp;T34))</f>
        <v>تسريع اعتماد مصفوفة الصلاحيات الشاملة،  جدولة جلسة اعتماد لائحة مجلس الإدارة</v>
      </c>
    </row>
    <row r="35" customFormat="false" ht="15" hidden="false" customHeight="false" outlineLevel="0" collapsed="false">
      <c r="Q35" s="50" t="str">
        <f aca="false">IFERROR(IF(INDEX(tblDeliverables[مؤشر الالتزام الزمني],33)="متأخر",INDEX(tblDeliverables[المخرج],33),""),"")</f>
        <v/>
      </c>
      <c r="R35" s="50" t="str">
        <f aca="false">IFERROR(IF(AND(INDEX(tblDeliverables[الأولوية],33)="عالية",INDEX(tblDeliverables[الحالة الحالية],33)&lt;&gt;"معتمد ونافذ",INDEX(tblDeliverables[المخرج],33)&lt;&gt;""),INDEX(tblDeliverables[المخرج],33),""),"")</f>
        <v/>
      </c>
      <c r="S35" s="50" t="str">
        <f aca="false">IFERROR(IF(INDEX(tblMeetings[الحالة],33)="مفتوح",INDEX(tblMeetings[أهم القرارات],33),""),"")</f>
        <v/>
      </c>
      <c r="T35" s="50" t="str">
        <f aca="false">IFERROR(IF(AND(INDEX(tblMeetings[تاريخ الاستحقاق],33)&lt;&gt;"",INDEX(tblMeetings[تاريخ الاستحقاق],33)&gt;=TODAY(),INDEX(tblMeetings[تاريخ الاستحقاق],33)&lt;=TODAY()+14,INDEX(tblMeetings[الحالة],33)&lt;&gt;"مغلق"),INDEX(tblMeetings[الإجراءات المطلوبة],33),""),"")</f>
        <v/>
      </c>
      <c r="V35" s="50" t="str">
        <f aca="false">IF(Q35="",V34,IF(V34="",Q35,V34&amp;"،  "&amp;Q35))</f>
        <v>مصفوفة الصلاحيات الشاملة</v>
      </c>
      <c r="W35" s="50" t="str">
        <f aca="false">IF(R35="",W34,IF(W34="",R35,W34&amp;"،  "&amp;R35))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5" s="50" t="str">
        <f aca="false">IF(S35="",X34,IF(X34="",S35,X34&amp;"،  "&amp;S35))</f>
        <v>مراجعة حالة المخرجات المتأخرة،  الموافقة على رفع لوائح اللجان للمجلس</v>
      </c>
      <c r="Y35" s="50" t="str">
        <f aca="false">IF(T35="",Y34,IF(Y34="",T35,Y34&amp;"،  "&amp;T35))</f>
        <v>تسريع اعتماد مصفوفة الصلاحيات الشاملة،  جدولة جلسة اعتماد لائحة مجلس الإدارة</v>
      </c>
    </row>
    <row r="36" customFormat="false" ht="15" hidden="false" customHeight="false" outlineLevel="0" collapsed="false">
      <c r="Q36" s="50" t="str">
        <f aca="false">IFERROR(IF(INDEX(tblDeliverables[مؤشر الالتزام الزمني],34)="متأخر",INDEX(tblDeliverables[المخرج],34),""),"")</f>
        <v/>
      </c>
      <c r="R36" s="50" t="str">
        <f aca="false">IFERROR(IF(AND(INDEX(tblDeliverables[الأولوية],34)="عالية",INDEX(tblDeliverables[الحالة الحالية],34)&lt;&gt;"معتمد ونافذ",INDEX(tblDeliverables[المخرج],34)&lt;&gt;""),INDEX(tblDeliverables[المخرج],34),""),"")</f>
        <v/>
      </c>
      <c r="S36" s="50" t="str">
        <f aca="false">IFERROR(IF(INDEX(tblMeetings[الحالة],34)="مفتوح",INDEX(tblMeetings[أهم القرارات],34),""),"")</f>
        <v/>
      </c>
      <c r="T36" s="50" t="str">
        <f aca="false">IFERROR(IF(AND(INDEX(tblMeetings[تاريخ الاستحقاق],34)&lt;&gt;"",INDEX(tblMeetings[تاريخ الاستحقاق],34)&gt;=TODAY(),INDEX(tblMeetings[تاريخ الاستحقاق],34)&lt;=TODAY()+14,INDEX(tblMeetings[الحالة],34)&lt;&gt;"مغلق"),INDEX(tblMeetings[الإجراءات المطلوبة],34),""),"")</f>
        <v/>
      </c>
      <c r="V36" s="50" t="str">
        <f aca="false">IF(Q36="",V35,IF(V35="",Q36,V35&amp;"،  "&amp;Q36))</f>
        <v>مصفوفة الصلاحيات الشاملة</v>
      </c>
      <c r="W36" s="50" t="str">
        <f aca="false">IF(R36="",W35,IF(W35="",R36,W35&amp;"،  "&amp;R36))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6" s="50" t="str">
        <f aca="false">IF(S36="",X35,IF(X35="",S36,X35&amp;"،  "&amp;S36))</f>
        <v>مراجعة حالة المخرجات المتأخرة،  الموافقة على رفع لوائح اللجان للمجلس</v>
      </c>
      <c r="Y36" s="50" t="str">
        <f aca="false">IF(T36="",Y35,IF(Y35="",T36,Y35&amp;"،  "&amp;T36))</f>
        <v>تسريع اعتماد مصفوفة الصلاحيات الشاملة،  جدولة جلسة اعتماد لائحة مجلس الإدارة</v>
      </c>
    </row>
    <row r="37" customFormat="false" ht="15" hidden="false" customHeight="false" outlineLevel="0" collapsed="false">
      <c r="Q37" s="50" t="str">
        <f aca="false">IFERROR(IF(INDEX(tblDeliverables[مؤشر الالتزام الزمني],35)="متأخر",INDEX(tblDeliverables[المخرج],35),""),"")</f>
        <v/>
      </c>
      <c r="R37" s="50" t="str">
        <f aca="false">IFERROR(IF(AND(INDEX(tblDeliverables[الأولوية],35)="عالية",INDEX(tblDeliverables[الحالة الحالية],35)&lt;&gt;"معتمد ونافذ",INDEX(tblDeliverables[المخرج],35)&lt;&gt;""),INDEX(tblDeliverables[المخرج],35),""),"")</f>
        <v/>
      </c>
      <c r="S37" s="50" t="str">
        <f aca="false">IFERROR(IF(INDEX(tblMeetings[الحالة],35)="مفتوح",INDEX(tblMeetings[أهم القرارات],35),""),"")</f>
        <v/>
      </c>
      <c r="T37" s="50" t="str">
        <f aca="false">IFERROR(IF(AND(INDEX(tblMeetings[تاريخ الاستحقاق],35)&lt;&gt;"",INDEX(tblMeetings[تاريخ الاستحقاق],35)&gt;=TODAY(),INDEX(tblMeetings[تاريخ الاستحقاق],35)&lt;=TODAY()+14,INDEX(tblMeetings[الحالة],35)&lt;&gt;"مغلق"),INDEX(tblMeetings[الإجراءات المطلوبة],35),""),"")</f>
        <v/>
      </c>
      <c r="V37" s="50" t="str">
        <f aca="false">IF(Q37="",V36,IF(V36="",Q37,V36&amp;"،  "&amp;Q37))</f>
        <v>مصفوفة الصلاحيات الشاملة</v>
      </c>
      <c r="W37" s="50" t="str">
        <f aca="false">IF(R37="",W36,IF(W36="",R37,W36&amp;"،  "&amp;R37))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7" s="50" t="str">
        <f aca="false">IF(S37="",X36,IF(X36="",S37,X36&amp;"،  "&amp;S37))</f>
        <v>مراجعة حالة المخرجات المتأخرة،  الموافقة على رفع لوائح اللجان للمجلس</v>
      </c>
      <c r="Y37" s="50" t="str">
        <f aca="false">IF(T37="",Y36,IF(Y36="",T37,Y36&amp;"،  "&amp;T37))</f>
        <v>تسريع اعتماد مصفوفة الصلاحيات الشاملة،  جدولة جلسة اعتماد لائحة مجلس الإدارة</v>
      </c>
    </row>
    <row r="38" customFormat="false" ht="15" hidden="false" customHeight="false" outlineLevel="0" collapsed="false">
      <c r="Q38" s="50" t="str">
        <f aca="false">IFERROR(IF(INDEX(tblDeliverables[مؤشر الالتزام الزمني],36)="متأخر",INDEX(tblDeliverables[المخرج],36),""),"")</f>
        <v/>
      </c>
      <c r="R38" s="50" t="str">
        <f aca="false">IFERROR(IF(AND(INDEX(tblDeliverables[الأولوية],36)="عالية",INDEX(tblDeliverables[الحالة الحالية],36)&lt;&gt;"معتمد ونافذ",INDEX(tblDeliverables[المخرج],36)&lt;&gt;""),INDEX(tblDeliverables[المخرج],36),""),"")</f>
        <v/>
      </c>
      <c r="S38" s="50" t="str">
        <f aca="false">IFERROR(IF(INDEX(tblMeetings[الحالة],36)="مفتوح",INDEX(tblMeetings[أهم القرارات],36),""),"")</f>
        <v/>
      </c>
      <c r="T38" s="50" t="str">
        <f aca="false">IFERROR(IF(AND(INDEX(tblMeetings[تاريخ الاستحقاق],36)&lt;&gt;"",INDEX(tblMeetings[تاريخ الاستحقاق],36)&gt;=TODAY(),INDEX(tblMeetings[تاريخ الاستحقاق],36)&lt;=TODAY()+14,INDEX(tblMeetings[الحالة],36)&lt;&gt;"مغلق"),INDEX(tblMeetings[الإجراءات المطلوبة],36),""),"")</f>
        <v/>
      </c>
      <c r="V38" s="50" t="str">
        <f aca="false">IF(Q38="",V37,IF(V37="",Q38,V37&amp;"،  "&amp;Q38))</f>
        <v>مصفوفة الصلاحيات الشاملة</v>
      </c>
      <c r="W38" s="50" t="str">
        <f aca="false">IF(R38="",W37,IF(W37="",R38,W37&amp;"،  "&amp;R38))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8" s="50" t="str">
        <f aca="false">IF(S38="",X37,IF(X37="",S38,X37&amp;"،  "&amp;S38))</f>
        <v>مراجعة حالة المخرجات المتأخرة،  الموافقة على رفع لوائح اللجان للمجلس</v>
      </c>
      <c r="Y38" s="50" t="str">
        <f aca="false">IF(T38="",Y37,IF(Y37="",T38,Y37&amp;"،  "&amp;T38))</f>
        <v>تسريع اعتماد مصفوفة الصلاحيات الشاملة،  جدولة جلسة اعتماد لائحة مجلس الإدارة</v>
      </c>
    </row>
    <row r="39" customFormat="false" ht="15" hidden="false" customHeight="false" outlineLevel="0" collapsed="false">
      <c r="Q39" s="50" t="str">
        <f aca="false">IFERROR(IF(INDEX(tblDeliverables[مؤشر الالتزام الزمني],37)="متأخر",INDEX(tblDeliverables[المخرج],37),""),"")</f>
        <v/>
      </c>
      <c r="R39" s="50" t="str">
        <f aca="false">IFERROR(IF(AND(INDEX(tblDeliverables[الأولوية],37)="عالية",INDEX(tblDeliverables[الحالة الحالية],37)&lt;&gt;"معتمد ونافذ",INDEX(tblDeliverables[المخرج],37)&lt;&gt;""),INDEX(tblDeliverables[المخرج],37),""),"")</f>
        <v/>
      </c>
      <c r="S39" s="50" t="str">
        <f aca="false">IFERROR(IF(INDEX(tblMeetings[الحالة],37)="مفتوح",INDEX(tblMeetings[أهم القرارات],37),""),"")</f>
        <v/>
      </c>
      <c r="T39" s="50" t="str">
        <f aca="false">IFERROR(IF(AND(INDEX(tblMeetings[تاريخ الاستحقاق],37)&lt;&gt;"",INDEX(tblMeetings[تاريخ الاستحقاق],37)&gt;=TODAY(),INDEX(tblMeetings[تاريخ الاستحقاق],37)&lt;=TODAY()+14,INDEX(tblMeetings[الحالة],37)&lt;&gt;"مغلق"),INDEX(tblMeetings[الإجراءات المطلوبة],37),""),"")</f>
        <v/>
      </c>
      <c r="V39" s="50" t="str">
        <f aca="false">IF(Q39="",V38,IF(V38="",Q39,V38&amp;"،  "&amp;Q39))</f>
        <v>مصفوفة الصلاحيات الشاملة</v>
      </c>
      <c r="W39" s="50" t="str">
        <f aca="false">IF(R39="",W38,IF(W38="",R39,W38&amp;"،  "&amp;R39))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39" s="50" t="str">
        <f aca="false">IF(S39="",X38,IF(X38="",S39,X38&amp;"،  "&amp;S39))</f>
        <v>مراجعة حالة المخرجات المتأخرة،  الموافقة على رفع لوائح اللجان للمجلس</v>
      </c>
      <c r="Y39" s="50" t="str">
        <f aca="false">IF(T39="",Y38,IF(Y38="",T39,Y38&amp;"،  "&amp;T39))</f>
        <v>تسريع اعتماد مصفوفة الصلاحيات الشاملة،  جدولة جلسة اعتماد لائحة مجلس الإدارة</v>
      </c>
    </row>
    <row r="40" customFormat="false" ht="15" hidden="false" customHeight="false" outlineLevel="0" collapsed="false">
      <c r="Q40" s="50" t="str">
        <f aca="false">IFERROR(IF(INDEX(tblDeliverables[مؤشر الالتزام الزمني],38)="متأخر",INDEX(tblDeliverables[المخرج],38),""),"")</f>
        <v/>
      </c>
      <c r="R40" s="50" t="str">
        <f aca="false">IFERROR(IF(AND(INDEX(tblDeliverables[الأولوية],38)="عالية",INDEX(tblDeliverables[الحالة الحالية],38)&lt;&gt;"معتمد ونافذ",INDEX(tblDeliverables[المخرج],38)&lt;&gt;""),INDEX(tblDeliverables[المخرج],38),""),"")</f>
        <v/>
      </c>
      <c r="S40" s="50" t="str">
        <f aca="false">IFERROR(IF(INDEX(tblMeetings[الحالة],38)="مفتوح",INDEX(tblMeetings[أهم القرارات],38),""),"")</f>
        <v/>
      </c>
      <c r="T40" s="50" t="str">
        <f aca="false">IFERROR(IF(AND(INDEX(tblMeetings[تاريخ الاستحقاق],38)&lt;&gt;"",INDEX(tblMeetings[تاريخ الاستحقاق],38)&gt;=TODAY(),INDEX(tblMeetings[تاريخ الاستحقاق],38)&lt;=TODAY()+14,INDEX(tblMeetings[الحالة],38)&lt;&gt;"مغلق"),INDEX(tblMeetings[الإجراءات المطلوبة],38),""),"")</f>
        <v/>
      </c>
      <c r="V40" s="50" t="str">
        <f aca="false">IF(Q40="",V39,IF(V39="",Q40,V39&amp;"،  "&amp;Q40))</f>
        <v>مصفوفة الصلاحيات الشاملة</v>
      </c>
      <c r="W40" s="50" t="str">
        <f aca="false">IF(R40="",W39,IF(W39="",R40,W39&amp;"،  "&amp;R40))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0" s="50" t="str">
        <f aca="false">IF(S40="",X39,IF(X39="",S40,X39&amp;"،  "&amp;S40))</f>
        <v>مراجعة حالة المخرجات المتأخرة،  الموافقة على رفع لوائح اللجان للمجلس</v>
      </c>
      <c r="Y40" s="50" t="str">
        <f aca="false">IF(T40="",Y39,IF(Y39="",T40,Y39&amp;"،  "&amp;T40))</f>
        <v>تسريع اعتماد مصفوفة الصلاحيات الشاملة،  جدولة جلسة اعتماد لائحة مجلس الإدارة</v>
      </c>
    </row>
    <row r="41" customFormat="false" ht="15" hidden="false" customHeight="false" outlineLevel="0" collapsed="false">
      <c r="Q41" s="50" t="str">
        <f aca="false">IFERROR(IF(INDEX(tblDeliverables[مؤشر الالتزام الزمني],39)="متأخر",INDEX(tblDeliverables[المخرج],39),""),"")</f>
        <v/>
      </c>
      <c r="R41" s="50" t="str">
        <f aca="false">IFERROR(IF(AND(INDEX(tblDeliverables[الأولوية],39)="عالية",INDEX(tblDeliverables[الحالة الحالية],39)&lt;&gt;"معتمد ونافذ",INDEX(tblDeliverables[المخرج],39)&lt;&gt;""),INDEX(tblDeliverables[المخرج],39),""),"")</f>
        <v/>
      </c>
      <c r="S41" s="50" t="str">
        <f aca="false">IFERROR(IF(INDEX(tblMeetings[الحالة],39)="مفتوح",INDEX(tblMeetings[أهم القرارات],39),""),"")</f>
        <v/>
      </c>
      <c r="T41" s="50" t="str">
        <f aca="false">IFERROR(IF(AND(INDEX(tblMeetings[تاريخ الاستحقاق],39)&lt;&gt;"",INDEX(tblMeetings[تاريخ الاستحقاق],39)&gt;=TODAY(),INDEX(tblMeetings[تاريخ الاستحقاق],39)&lt;=TODAY()+14,INDEX(tblMeetings[الحالة],39)&lt;&gt;"مغلق"),INDEX(tblMeetings[الإجراءات المطلوبة],39),""),"")</f>
        <v/>
      </c>
      <c r="V41" s="50" t="str">
        <f aca="false">IF(Q41="",V40,IF(V40="",Q41,V40&amp;"،  "&amp;Q41))</f>
        <v>مصفوفة الصلاحيات الشاملة</v>
      </c>
      <c r="W41" s="50" t="str">
        <f aca="false">IF(R41="",W40,IF(W40="",R41,W40&amp;"،  "&amp;R41))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1" s="50" t="str">
        <f aca="false">IF(S41="",X40,IF(X40="",S41,X40&amp;"،  "&amp;S41))</f>
        <v>مراجعة حالة المخرجات المتأخرة،  الموافقة على رفع لوائح اللجان للمجلس</v>
      </c>
      <c r="Y41" s="50" t="str">
        <f aca="false">IF(T41="",Y40,IF(Y40="",T41,Y40&amp;"،  "&amp;T41))</f>
        <v>تسريع اعتماد مصفوفة الصلاحيات الشاملة،  جدولة جلسة اعتماد لائحة مجلس الإدارة</v>
      </c>
    </row>
    <row r="42" customFormat="false" ht="15" hidden="false" customHeight="false" outlineLevel="0" collapsed="false">
      <c r="Q42" s="50" t="str">
        <f aca="false">IFERROR(IF(INDEX(tblDeliverables[مؤشر الالتزام الزمني],40)="متأخر",INDEX(tblDeliverables[المخرج],40),""),"")</f>
        <v/>
      </c>
      <c r="R42" s="50" t="str">
        <f aca="false">IFERROR(IF(AND(INDEX(tblDeliverables[الأولوية],40)="عالية",INDEX(tblDeliverables[الحالة الحالية],40)&lt;&gt;"معتمد ونافذ",INDEX(tblDeliverables[المخرج],40)&lt;&gt;""),INDEX(tblDeliverables[المخرج],40),""),"")</f>
        <v/>
      </c>
      <c r="S42" s="50" t="str">
        <f aca="false">IFERROR(IF(INDEX(tblMeetings[الحالة],40)="مفتوح",INDEX(tblMeetings[أهم القرارات],40),""),"")</f>
        <v/>
      </c>
      <c r="T42" s="50" t="str">
        <f aca="false">IFERROR(IF(AND(INDEX(tblMeetings[تاريخ الاستحقاق],40)&lt;&gt;"",INDEX(tblMeetings[تاريخ الاستحقاق],40)&gt;=TODAY(),INDEX(tblMeetings[تاريخ الاستحقاق],40)&lt;=TODAY()+14,INDEX(tblMeetings[الحالة],40)&lt;&gt;"مغلق"),INDEX(tblMeetings[الإجراءات المطلوبة],40),""),"")</f>
        <v/>
      </c>
      <c r="V42" s="50" t="str">
        <f aca="false">IF(Q42="",V41,IF(V41="",Q42,V41&amp;"،  "&amp;Q42))</f>
        <v>مصفوفة الصلاحيات الشاملة</v>
      </c>
      <c r="W42" s="50" t="str">
        <f aca="false">IF(R42="",W41,IF(W41="",R42,W41&amp;"،  "&amp;R42))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2" s="50" t="str">
        <f aca="false">IF(S42="",X41,IF(X41="",S42,X41&amp;"،  "&amp;S42))</f>
        <v>مراجعة حالة المخرجات المتأخرة،  الموافقة على رفع لوائح اللجان للمجلس</v>
      </c>
      <c r="Y42" s="50" t="str">
        <f aca="false">IF(T42="",Y41,IF(Y41="",T42,Y41&amp;"،  "&amp;T42))</f>
        <v>تسريع اعتماد مصفوفة الصلاحيات الشاملة،  جدولة جلسة اعتماد لائحة مجلس الإدارة</v>
      </c>
    </row>
    <row r="43" customFormat="false" ht="15" hidden="false" customHeight="false" outlineLevel="0" collapsed="false">
      <c r="Q43" s="50" t="str">
        <f aca="false">IFERROR(IF(INDEX(tblDeliverables[مؤشر الالتزام الزمني],41)="متأخر",INDEX(tblDeliverables[المخرج],41),""),"")</f>
        <v/>
      </c>
      <c r="R43" s="50" t="str">
        <f aca="false">IFERROR(IF(AND(INDEX(tblDeliverables[الأولوية],41)="عالية",INDEX(tblDeliverables[الحالة الحالية],41)&lt;&gt;"معتمد ونافذ",INDEX(tblDeliverables[المخرج],41)&lt;&gt;""),INDEX(tblDeliverables[المخرج],41),""),"")</f>
        <v/>
      </c>
      <c r="S43" s="50" t="str">
        <f aca="false">IFERROR(IF(INDEX(tblMeetings[الحالة],41)="مفتوح",INDEX(tblMeetings[أهم القرارات],41),""),"")</f>
        <v/>
      </c>
      <c r="T43" s="50" t="str">
        <f aca="false">IFERROR(IF(AND(INDEX(tblMeetings[تاريخ الاستحقاق],41)&lt;&gt;"",INDEX(tblMeetings[تاريخ الاستحقاق],41)&gt;=TODAY(),INDEX(tblMeetings[تاريخ الاستحقاق],41)&lt;=TODAY()+14,INDEX(tblMeetings[الحالة],41)&lt;&gt;"مغلق"),INDEX(tblMeetings[الإجراءات المطلوبة],41),""),"")</f>
        <v/>
      </c>
      <c r="V43" s="50" t="str">
        <f aca="false">IF(Q43="",V42,IF(V42="",Q43,V42&amp;"،  "&amp;Q43))</f>
        <v>مصفوفة الصلاحيات الشاملة</v>
      </c>
      <c r="W43" s="50" t="str">
        <f aca="false">IF(R43="",W42,IF(W42="",R43,W42&amp;"،  "&amp;R43))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3" s="50" t="str">
        <f aca="false">IF(S43="",X42,IF(X42="",S43,X42&amp;"،  "&amp;S43))</f>
        <v>مراجعة حالة المخرجات المتأخرة،  الموافقة على رفع لوائح اللجان للمجلس</v>
      </c>
      <c r="Y43" s="50" t="str">
        <f aca="false">IF(T43="",Y42,IF(Y42="",T43,Y42&amp;"،  "&amp;T43))</f>
        <v>تسريع اعتماد مصفوفة الصلاحيات الشاملة،  جدولة جلسة اعتماد لائحة مجلس الإدارة</v>
      </c>
    </row>
    <row r="44" customFormat="false" ht="15" hidden="false" customHeight="false" outlineLevel="0" collapsed="false">
      <c r="Q44" s="50" t="str">
        <f aca="false">IFERROR(IF(INDEX(tblDeliverables[مؤشر الالتزام الزمني],42)="متأخر",INDEX(tblDeliverables[المخرج],42),""),"")</f>
        <v/>
      </c>
      <c r="R44" s="50" t="str">
        <f aca="false">IFERROR(IF(AND(INDEX(tblDeliverables[الأولوية],42)="عالية",INDEX(tblDeliverables[الحالة الحالية],42)&lt;&gt;"معتمد ونافذ",INDEX(tblDeliverables[المخرج],42)&lt;&gt;""),INDEX(tblDeliverables[المخرج],42),""),"")</f>
        <v/>
      </c>
      <c r="S44" s="50" t="str">
        <f aca="false">IFERROR(IF(INDEX(tblMeetings[الحالة],42)="مفتوح",INDEX(tblMeetings[أهم القرارات],42),""),"")</f>
        <v/>
      </c>
      <c r="T44" s="50" t="str">
        <f aca="false">IFERROR(IF(AND(INDEX(tblMeetings[تاريخ الاستحقاق],42)&lt;&gt;"",INDEX(tblMeetings[تاريخ الاستحقاق],42)&gt;=TODAY(),INDEX(tblMeetings[تاريخ الاستحقاق],42)&lt;=TODAY()+14,INDEX(tblMeetings[الحالة],42)&lt;&gt;"مغلق"),INDEX(tblMeetings[الإجراءات المطلوبة],42),""),"")</f>
        <v/>
      </c>
      <c r="V44" s="50" t="str">
        <f aca="false">IF(Q44="",V43,IF(V43="",Q44,V43&amp;"،  "&amp;Q44))</f>
        <v>مصفوفة الصلاحيات الشاملة</v>
      </c>
      <c r="W44" s="50" t="str">
        <f aca="false">IF(R44="",W43,IF(W43="",R44,W43&amp;"،  "&amp;R44))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4" s="50" t="str">
        <f aca="false">IF(S44="",X43,IF(X43="",S44,X43&amp;"،  "&amp;S44))</f>
        <v>مراجعة حالة المخرجات المتأخرة،  الموافقة على رفع لوائح اللجان للمجلس</v>
      </c>
      <c r="Y44" s="50" t="str">
        <f aca="false">IF(T44="",Y43,IF(Y43="",T44,Y43&amp;"،  "&amp;T44))</f>
        <v>تسريع اعتماد مصفوفة الصلاحيات الشاملة،  جدولة جلسة اعتماد لائحة مجلس الإدارة</v>
      </c>
    </row>
    <row r="45" customFormat="false" ht="15" hidden="false" customHeight="false" outlineLevel="0" collapsed="false">
      <c r="Q45" s="50" t="str">
        <f aca="false">IFERROR(IF(INDEX(tblDeliverables[مؤشر الالتزام الزمني],43)="متأخر",INDEX(tblDeliverables[المخرج],43),""),"")</f>
        <v/>
      </c>
      <c r="R45" s="50" t="str">
        <f aca="false">IFERROR(IF(AND(INDEX(tblDeliverables[الأولوية],43)="عالية",INDEX(tblDeliverables[الحالة الحالية],43)&lt;&gt;"معتمد ونافذ",INDEX(tblDeliverables[المخرج],43)&lt;&gt;""),INDEX(tblDeliverables[المخرج],43),""),"")</f>
        <v/>
      </c>
      <c r="S45" s="50" t="str">
        <f aca="false">IFERROR(IF(INDEX(tblMeetings[الحالة],43)="مفتوح",INDEX(tblMeetings[أهم القرارات],43),""),"")</f>
        <v/>
      </c>
      <c r="T45" s="50" t="str">
        <f aca="false">IFERROR(IF(AND(INDEX(tblMeetings[تاريخ الاستحقاق],43)&lt;&gt;"",INDEX(tblMeetings[تاريخ الاستحقاق],43)&gt;=TODAY(),INDEX(tblMeetings[تاريخ الاستحقاق],43)&lt;=TODAY()+14,INDEX(tblMeetings[الحالة],43)&lt;&gt;"مغلق"),INDEX(tblMeetings[الإجراءات المطلوبة],43),""),"")</f>
        <v/>
      </c>
      <c r="V45" s="50" t="str">
        <f aca="false">IF(Q45="",V44,IF(V44="",Q45,V44&amp;"،  "&amp;Q45))</f>
        <v>مصفوفة الصلاحيات الشاملة</v>
      </c>
      <c r="W45" s="50" t="str">
        <f aca="false">IF(R45="",W44,IF(W44="",R45,W44&amp;"،  "&amp;R45))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5" s="50" t="str">
        <f aca="false">IF(S45="",X44,IF(X44="",S45,X44&amp;"،  "&amp;S45))</f>
        <v>مراجعة حالة المخرجات المتأخرة،  الموافقة على رفع لوائح اللجان للمجلس</v>
      </c>
      <c r="Y45" s="50" t="str">
        <f aca="false">IF(T45="",Y44,IF(Y44="",T45,Y44&amp;"،  "&amp;T45))</f>
        <v>تسريع اعتماد مصفوفة الصلاحيات الشاملة،  جدولة جلسة اعتماد لائحة مجلس الإدارة</v>
      </c>
    </row>
    <row r="46" customFormat="false" ht="15" hidden="false" customHeight="false" outlineLevel="0" collapsed="false">
      <c r="Q46" s="50" t="str">
        <f aca="false">IFERROR(IF(INDEX(tblDeliverables[مؤشر الالتزام الزمني],44)="متأخر",INDEX(tblDeliverables[المخرج],44),""),"")</f>
        <v/>
      </c>
      <c r="R46" s="50" t="str">
        <f aca="false">IFERROR(IF(AND(INDEX(tblDeliverables[الأولوية],44)="عالية",INDEX(tblDeliverables[الحالة الحالية],44)&lt;&gt;"معتمد ونافذ",INDEX(tblDeliverables[المخرج],44)&lt;&gt;""),INDEX(tblDeliverables[المخرج],44),""),"")</f>
        <v/>
      </c>
      <c r="S46" s="50" t="str">
        <f aca="false">IFERROR(IF(INDEX(tblMeetings[الحالة],44)="مفتوح",INDEX(tblMeetings[أهم القرارات],44),""),"")</f>
        <v/>
      </c>
      <c r="T46" s="50" t="str">
        <f aca="false">IFERROR(IF(AND(INDEX(tblMeetings[تاريخ الاستحقاق],44)&lt;&gt;"",INDEX(tblMeetings[تاريخ الاستحقاق],44)&gt;=TODAY(),INDEX(tblMeetings[تاريخ الاستحقاق],44)&lt;=TODAY()+14,INDEX(tblMeetings[الحالة],44)&lt;&gt;"مغلق"),INDEX(tblMeetings[الإجراءات المطلوبة],44),""),"")</f>
        <v/>
      </c>
      <c r="V46" s="50" t="str">
        <f aca="false">IF(Q46="",V45,IF(V45="",Q46,V45&amp;"،  "&amp;Q46))</f>
        <v>مصفوفة الصلاحيات الشاملة</v>
      </c>
      <c r="W46" s="50" t="str">
        <f aca="false">IF(R46="",W45,IF(W45="",R46,W45&amp;"،  "&amp;R46))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6" s="50" t="str">
        <f aca="false">IF(S46="",X45,IF(X45="",S46,X45&amp;"،  "&amp;S46))</f>
        <v>مراجعة حالة المخرجات المتأخرة،  الموافقة على رفع لوائح اللجان للمجلس</v>
      </c>
      <c r="Y46" s="50" t="str">
        <f aca="false">IF(T46="",Y45,IF(Y45="",T46,Y45&amp;"،  "&amp;T46))</f>
        <v>تسريع اعتماد مصفوفة الصلاحيات الشاملة،  جدولة جلسة اعتماد لائحة مجلس الإدارة</v>
      </c>
    </row>
    <row r="47" customFormat="false" ht="15" hidden="false" customHeight="false" outlineLevel="0" collapsed="false">
      <c r="Q47" s="50" t="str">
        <f aca="false">IFERROR(IF(INDEX(tblDeliverables[مؤشر الالتزام الزمني],45)="متأخر",INDEX(tblDeliverables[المخرج],45),""),"")</f>
        <v/>
      </c>
      <c r="R47" s="50" t="str">
        <f aca="false">IFERROR(IF(AND(INDEX(tblDeliverables[الأولوية],45)="عالية",INDEX(tblDeliverables[الحالة الحالية],45)&lt;&gt;"معتمد ونافذ",INDEX(tblDeliverables[المخرج],45)&lt;&gt;""),INDEX(tblDeliverables[المخرج],45),""),"")</f>
        <v/>
      </c>
      <c r="S47" s="50" t="str">
        <f aca="false">IFERROR(IF(INDEX(tblMeetings[الحالة],45)="مفتوح",INDEX(tblMeetings[أهم القرارات],45),""),"")</f>
        <v/>
      </c>
      <c r="T47" s="50" t="str">
        <f aca="false">IFERROR(IF(AND(INDEX(tblMeetings[تاريخ الاستحقاق],45)&lt;&gt;"",INDEX(tblMeetings[تاريخ الاستحقاق],45)&gt;=TODAY(),INDEX(tblMeetings[تاريخ الاستحقاق],45)&lt;=TODAY()+14,INDEX(tblMeetings[الحالة],45)&lt;&gt;"مغلق"),INDEX(tblMeetings[الإجراءات المطلوبة],45),""),"")</f>
        <v/>
      </c>
      <c r="V47" s="50" t="str">
        <f aca="false">IF(Q47="",V46,IF(V46="",Q47,V46&amp;"،  "&amp;Q47))</f>
        <v>مصفوفة الصلاحيات الشاملة</v>
      </c>
      <c r="W47" s="50" t="str">
        <f aca="false">IF(R47="",W46,IF(W46="",R47,W46&amp;"،  "&amp;R47))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7" s="50" t="str">
        <f aca="false">IF(S47="",X46,IF(X46="",S47,X46&amp;"،  "&amp;S47))</f>
        <v>مراجعة حالة المخرجات المتأخرة،  الموافقة على رفع لوائح اللجان للمجلس</v>
      </c>
      <c r="Y47" s="50" t="str">
        <f aca="false">IF(T47="",Y46,IF(Y46="",T47,Y46&amp;"،  "&amp;T47))</f>
        <v>تسريع اعتماد مصفوفة الصلاحيات الشاملة،  جدولة جلسة اعتماد لائحة مجلس الإدارة</v>
      </c>
    </row>
    <row r="48" customFormat="false" ht="15" hidden="false" customHeight="false" outlineLevel="0" collapsed="false">
      <c r="Q48" s="50" t="str">
        <f aca="false">IFERROR(IF(INDEX(tblDeliverables[مؤشر الالتزام الزمني],46)="متأخر",INDEX(tblDeliverables[المخرج],46),""),"")</f>
        <v/>
      </c>
      <c r="R48" s="50" t="str">
        <f aca="false">IFERROR(IF(AND(INDEX(tblDeliverables[الأولوية],46)="عالية",INDEX(tblDeliverables[الحالة الحالية],46)&lt;&gt;"معتمد ونافذ",INDEX(tblDeliverables[المخرج],46)&lt;&gt;""),INDEX(tblDeliverables[المخرج],46),""),"")</f>
        <v/>
      </c>
      <c r="S48" s="50" t="str">
        <f aca="false">IFERROR(IF(INDEX(tblMeetings[الحالة],46)="مفتوح",INDEX(tblMeetings[أهم القرارات],46),""),"")</f>
        <v/>
      </c>
      <c r="T48" s="50" t="str">
        <f aca="false">IFERROR(IF(AND(INDEX(tblMeetings[تاريخ الاستحقاق],46)&lt;&gt;"",INDEX(tblMeetings[تاريخ الاستحقاق],46)&gt;=TODAY(),INDEX(tblMeetings[تاريخ الاستحقاق],46)&lt;=TODAY()+14,INDEX(tblMeetings[الحالة],46)&lt;&gt;"مغلق"),INDEX(tblMeetings[الإجراءات المطلوبة],46),""),"")</f>
        <v/>
      </c>
      <c r="V48" s="50" t="str">
        <f aca="false">IF(Q48="",V47,IF(V47="",Q48,V47&amp;"،  "&amp;Q48))</f>
        <v>مصفوفة الصلاحيات الشاملة</v>
      </c>
      <c r="W48" s="50" t="str">
        <f aca="false">IF(R48="",W47,IF(W47="",R48,W47&amp;"،  "&amp;R48))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8" s="50" t="str">
        <f aca="false">IF(S48="",X47,IF(X47="",S48,X47&amp;"،  "&amp;S48))</f>
        <v>مراجعة حالة المخرجات المتأخرة،  الموافقة على رفع لوائح اللجان للمجلس</v>
      </c>
      <c r="Y48" s="50" t="str">
        <f aca="false">IF(T48="",Y47,IF(Y47="",T48,Y47&amp;"،  "&amp;T48))</f>
        <v>تسريع اعتماد مصفوفة الصلاحيات الشاملة،  جدولة جلسة اعتماد لائحة مجلس الإدارة</v>
      </c>
    </row>
    <row r="49" customFormat="false" ht="15" hidden="false" customHeight="false" outlineLevel="0" collapsed="false">
      <c r="Q49" s="50" t="str">
        <f aca="false">IFERROR(IF(INDEX(tblDeliverables[مؤشر الالتزام الزمني],47)="متأخر",INDEX(tblDeliverables[المخرج],47),""),"")</f>
        <v/>
      </c>
      <c r="R49" s="50" t="str">
        <f aca="false">IFERROR(IF(AND(INDEX(tblDeliverables[الأولوية],47)="عالية",INDEX(tblDeliverables[الحالة الحالية],47)&lt;&gt;"معتمد ونافذ",INDEX(tblDeliverables[المخرج],47)&lt;&gt;""),INDEX(tblDeliverables[المخرج],47),""),"")</f>
        <v/>
      </c>
      <c r="S49" s="50" t="str">
        <f aca="false">IFERROR(IF(INDEX(tblMeetings[الحالة],47)="مفتوح",INDEX(tblMeetings[أهم القرارات],47),""),"")</f>
        <v/>
      </c>
      <c r="T49" s="50" t="str">
        <f aca="false">IFERROR(IF(AND(INDEX(tblMeetings[تاريخ الاستحقاق],47)&lt;&gt;"",INDEX(tblMeetings[تاريخ الاستحقاق],47)&gt;=TODAY(),INDEX(tblMeetings[تاريخ الاستحقاق],47)&lt;=TODAY()+14,INDEX(tblMeetings[الحالة],47)&lt;&gt;"مغلق"),INDEX(tblMeetings[الإجراءات المطلوبة],47),""),"")</f>
        <v/>
      </c>
      <c r="V49" s="50" t="str">
        <f aca="false">IF(Q49="",V48,IF(V48="",Q49,V48&amp;"،  "&amp;Q49))</f>
        <v>مصفوفة الصلاحيات الشاملة</v>
      </c>
      <c r="W49" s="50" t="str">
        <f aca="false">IF(R49="",W48,IF(W48="",R49,W48&amp;"،  "&amp;R49))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49" s="50" t="str">
        <f aca="false">IF(S49="",X48,IF(X48="",S49,X48&amp;"،  "&amp;S49))</f>
        <v>مراجعة حالة المخرجات المتأخرة،  الموافقة على رفع لوائح اللجان للمجلس</v>
      </c>
      <c r="Y49" s="50" t="str">
        <f aca="false">IF(T49="",Y48,IF(Y48="",T49,Y48&amp;"،  "&amp;T49))</f>
        <v>تسريع اعتماد مصفوفة الصلاحيات الشاملة،  جدولة جلسة اعتماد لائحة مجلس الإدارة</v>
      </c>
    </row>
    <row r="50" customFormat="false" ht="15" hidden="false" customHeight="false" outlineLevel="0" collapsed="false">
      <c r="Q50" s="50" t="str">
        <f aca="false">IFERROR(IF(INDEX(tblDeliverables[مؤشر الالتزام الزمني],48)="متأخر",INDEX(tblDeliverables[المخرج],48),""),"")</f>
        <v/>
      </c>
      <c r="R50" s="50" t="str">
        <f aca="false">IFERROR(IF(AND(INDEX(tblDeliverables[الأولوية],48)="عالية",INDEX(tblDeliverables[الحالة الحالية],48)&lt;&gt;"معتمد ونافذ",INDEX(tblDeliverables[المخرج],48)&lt;&gt;""),INDEX(tblDeliverables[المخرج],48),""),"")</f>
        <v/>
      </c>
      <c r="S50" s="50" t="str">
        <f aca="false">IFERROR(IF(INDEX(tblMeetings[الحالة],48)="مفتوح",INDEX(tblMeetings[أهم القرارات],48),""),"")</f>
        <v/>
      </c>
      <c r="T50" s="50" t="str">
        <f aca="false">IFERROR(IF(AND(INDEX(tblMeetings[تاريخ الاستحقاق],48)&lt;&gt;"",INDEX(tblMeetings[تاريخ الاستحقاق],48)&gt;=TODAY(),INDEX(tblMeetings[تاريخ الاستحقاق],48)&lt;=TODAY()+14,INDEX(tblMeetings[الحالة],48)&lt;&gt;"مغلق"),INDEX(tblMeetings[الإجراءات المطلوبة],48),""),"")</f>
        <v/>
      </c>
      <c r="V50" s="50" t="str">
        <f aca="false">IF(Q50="",V49,IF(V49="",Q50,V49&amp;"،  "&amp;Q50))</f>
        <v>مصفوفة الصلاحيات الشاملة</v>
      </c>
      <c r="W50" s="50" t="str">
        <f aca="false">IF(R50="",W49,IF(W49="",R50,W49&amp;"،  "&amp;R50))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0" s="50" t="str">
        <f aca="false">IF(S50="",X49,IF(X49="",S50,X49&amp;"،  "&amp;S50))</f>
        <v>مراجعة حالة المخرجات المتأخرة،  الموافقة على رفع لوائح اللجان للمجلس</v>
      </c>
      <c r="Y50" s="50" t="str">
        <f aca="false">IF(T50="",Y49,IF(Y49="",T50,Y49&amp;"،  "&amp;T50))</f>
        <v>تسريع اعتماد مصفوفة الصلاحيات الشاملة،  جدولة جلسة اعتماد لائحة مجلس الإدارة</v>
      </c>
    </row>
    <row r="51" customFormat="false" ht="15" hidden="false" customHeight="false" outlineLevel="0" collapsed="false">
      <c r="Q51" s="50" t="str">
        <f aca="false">IFERROR(IF(INDEX(tblDeliverables[مؤشر الالتزام الزمني],49)="متأخر",INDEX(tblDeliverables[المخرج],49),""),"")</f>
        <v/>
      </c>
      <c r="R51" s="50" t="str">
        <f aca="false">IFERROR(IF(AND(INDEX(tblDeliverables[الأولوية],49)="عالية",INDEX(tblDeliverables[الحالة الحالية],49)&lt;&gt;"معتمد ونافذ",INDEX(tblDeliverables[المخرج],49)&lt;&gt;""),INDEX(tblDeliverables[المخرج],49),""),"")</f>
        <v/>
      </c>
      <c r="S51" s="50" t="str">
        <f aca="false">IFERROR(IF(INDEX(tblMeetings[الحالة],49)="مفتوح",INDEX(tblMeetings[أهم القرارات],49),""),"")</f>
        <v/>
      </c>
      <c r="T51" s="50" t="str">
        <f aca="false">IFERROR(IF(AND(INDEX(tblMeetings[تاريخ الاستحقاق],49)&lt;&gt;"",INDEX(tblMeetings[تاريخ الاستحقاق],49)&gt;=TODAY(),INDEX(tblMeetings[تاريخ الاستحقاق],49)&lt;=TODAY()+14,INDEX(tblMeetings[الحالة],49)&lt;&gt;"مغلق"),INDEX(tblMeetings[الإجراءات المطلوبة],49),""),"")</f>
        <v/>
      </c>
      <c r="V51" s="50" t="str">
        <f aca="false">IF(Q51="",V50,IF(V50="",Q51,V50&amp;"،  "&amp;Q51))</f>
        <v>مصفوفة الصلاحيات الشاملة</v>
      </c>
      <c r="W51" s="50" t="str">
        <f aca="false">IF(R51="",W50,IF(W50="",R51,W50&amp;"،  "&amp;R51))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1" s="50" t="str">
        <f aca="false">IF(S51="",X50,IF(X50="",S51,X50&amp;"،  "&amp;S51))</f>
        <v>مراجعة حالة المخرجات المتأخرة،  الموافقة على رفع لوائح اللجان للمجلس</v>
      </c>
      <c r="Y51" s="50" t="str">
        <f aca="false">IF(T51="",Y50,IF(Y50="",T51,Y50&amp;"،  "&amp;T51))</f>
        <v>تسريع اعتماد مصفوفة الصلاحيات الشاملة،  جدولة جلسة اعتماد لائحة مجلس الإدارة</v>
      </c>
    </row>
    <row r="52" customFormat="false" ht="15" hidden="false" customHeight="false" outlineLevel="0" collapsed="false">
      <c r="Q52" s="50" t="str">
        <f aca="false">IFERROR(IF(INDEX(tblDeliverables[مؤشر الالتزام الزمني],50)="متأخر",INDEX(tblDeliverables[المخرج],50),""),"")</f>
        <v/>
      </c>
      <c r="R52" s="50" t="str">
        <f aca="false">IFERROR(IF(AND(INDEX(tblDeliverables[الأولوية],50)="عالية",INDEX(tblDeliverables[الحالة الحالية],50)&lt;&gt;"معتمد ونافذ",INDEX(tblDeliverables[المخرج],50)&lt;&gt;""),INDEX(tblDeliverables[المخرج],50),""),"")</f>
        <v/>
      </c>
      <c r="S52" s="50" t="str">
        <f aca="false">IFERROR(IF(INDEX(tblMeetings[الحالة],50)="مفتوح",INDEX(tblMeetings[أهم القرارات],50),""),"")</f>
        <v/>
      </c>
      <c r="T52" s="50" t="str">
        <f aca="false">IFERROR(IF(AND(INDEX(tblMeetings[تاريخ الاستحقاق],50)&lt;&gt;"",INDEX(tblMeetings[تاريخ الاستحقاق],50)&gt;=TODAY(),INDEX(tblMeetings[تاريخ الاستحقاق],50)&lt;=TODAY()+14,INDEX(tblMeetings[الحالة],50)&lt;&gt;"مغلق"),INDEX(tblMeetings[الإجراءات المطلوبة],50),""),"")</f>
        <v/>
      </c>
      <c r="V52" s="50" t="str">
        <f aca="false">IF(Q52="",V51,IF(V51="",Q52,V51&amp;"،  "&amp;Q52))</f>
        <v>مصفوفة الصلاحيات الشاملة</v>
      </c>
      <c r="W52" s="50" t="str">
        <f aca="false">IF(R52="",W51,IF(W51="",R52,W51&amp;"،  "&amp;R52))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2" s="50" t="str">
        <f aca="false">IF(S52="",X51,IF(X51="",S52,X51&amp;"،  "&amp;S52))</f>
        <v>مراجعة حالة المخرجات المتأخرة،  الموافقة على رفع لوائح اللجان للمجلس</v>
      </c>
      <c r="Y52" s="50" t="str">
        <f aca="false">IF(T52="",Y51,IF(Y51="",T52,Y51&amp;"،  "&amp;T52))</f>
        <v>تسريع اعتماد مصفوفة الصلاحيات الشاملة،  جدولة جلسة اعتماد لائحة مجلس الإدارة</v>
      </c>
    </row>
    <row r="53" customFormat="false" ht="15" hidden="false" customHeight="false" outlineLevel="0" collapsed="false">
      <c r="Q53" s="50" t="str">
        <f aca="false">IFERROR(IF(INDEX(tblDeliverables[مؤشر الالتزام الزمني],51)="متأخر",INDEX(tblDeliverables[المخرج],51),""),"")</f>
        <v/>
      </c>
      <c r="R53" s="50" t="str">
        <f aca="false">IFERROR(IF(AND(INDEX(tblDeliverables[الأولوية],51)="عالية",INDEX(tblDeliverables[الحالة الحالية],51)&lt;&gt;"معتمد ونافذ",INDEX(tblDeliverables[المخرج],51)&lt;&gt;""),INDEX(tblDeliverables[المخرج],51),""),"")</f>
        <v/>
      </c>
      <c r="S53" s="50" t="str">
        <f aca="false">IFERROR(IF(INDEX(tblMeetings[الحالة],51)="مفتوح",INDEX(tblMeetings[أهم القرارات],51),""),"")</f>
        <v/>
      </c>
      <c r="T53" s="50" t="str">
        <f aca="false">IFERROR(IF(AND(INDEX(tblMeetings[تاريخ الاستحقاق],51)&lt;&gt;"",INDEX(tblMeetings[تاريخ الاستحقاق],51)&gt;=TODAY(),INDEX(tblMeetings[تاريخ الاستحقاق],51)&lt;=TODAY()+14,INDEX(tblMeetings[الحالة],51)&lt;&gt;"مغلق"),INDEX(tblMeetings[الإجراءات المطلوبة],51),""),"")</f>
        <v/>
      </c>
      <c r="V53" s="50" t="str">
        <f aca="false">IF(Q53="",V52,IF(V52="",Q53,V52&amp;"،  "&amp;Q53))</f>
        <v>مصفوفة الصلاحيات الشاملة</v>
      </c>
      <c r="W53" s="50" t="str">
        <f aca="false">IF(R53="",W52,IF(W52="",R53,W52&amp;"،  "&amp;R53))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3" s="50" t="str">
        <f aca="false">IF(S53="",X52,IF(X52="",S53,X52&amp;"،  "&amp;S53))</f>
        <v>مراجعة حالة المخرجات المتأخرة،  الموافقة على رفع لوائح اللجان للمجلس</v>
      </c>
      <c r="Y53" s="50" t="str">
        <f aca="false">IF(T53="",Y52,IF(Y52="",T53,Y52&amp;"،  "&amp;T53))</f>
        <v>تسريع اعتماد مصفوفة الصلاحيات الشاملة،  جدولة جلسة اعتماد لائحة مجلس الإدارة</v>
      </c>
    </row>
    <row r="54" customFormat="false" ht="15" hidden="false" customHeight="false" outlineLevel="0" collapsed="false">
      <c r="Q54" s="50" t="str">
        <f aca="false">IFERROR(IF(INDEX(tblDeliverables[مؤشر الالتزام الزمني],52)="متأخر",INDEX(tblDeliverables[المخرج],52),""),"")</f>
        <v/>
      </c>
      <c r="R54" s="50" t="str">
        <f aca="false">IFERROR(IF(AND(INDEX(tblDeliverables[الأولوية],52)="عالية",INDEX(tblDeliverables[الحالة الحالية],52)&lt;&gt;"معتمد ونافذ",INDEX(tblDeliverables[المخرج],52)&lt;&gt;""),INDEX(tblDeliverables[المخرج],52),""),"")</f>
        <v/>
      </c>
      <c r="S54" s="50" t="str">
        <f aca="false">IFERROR(IF(INDEX(tblMeetings[الحالة],52)="مفتوح",INDEX(tblMeetings[أهم القرارات],52),""),"")</f>
        <v/>
      </c>
      <c r="T54" s="50" t="str">
        <f aca="false">IFERROR(IF(AND(INDEX(tblMeetings[تاريخ الاستحقاق],52)&lt;&gt;"",INDEX(tblMeetings[تاريخ الاستحقاق],52)&gt;=TODAY(),INDEX(tblMeetings[تاريخ الاستحقاق],52)&lt;=TODAY()+14,INDEX(tblMeetings[الحالة],52)&lt;&gt;"مغلق"),INDEX(tblMeetings[الإجراءات المطلوبة],52),""),"")</f>
        <v/>
      </c>
      <c r="V54" s="50" t="str">
        <f aca="false">IF(Q54="",V53,IF(V53="",Q54,V53&amp;"،  "&amp;Q54))</f>
        <v>مصفوفة الصلاحيات الشاملة</v>
      </c>
      <c r="W54" s="50" t="str">
        <f aca="false">IF(R54="",W53,IF(W53="",R54,W53&amp;"،  "&amp;R54))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4" s="50" t="str">
        <f aca="false">IF(S54="",X53,IF(X53="",S54,X53&amp;"،  "&amp;S54))</f>
        <v>مراجعة حالة المخرجات المتأخرة،  الموافقة على رفع لوائح اللجان للمجلس</v>
      </c>
      <c r="Y54" s="50" t="str">
        <f aca="false">IF(T54="",Y53,IF(Y53="",T54,Y53&amp;"،  "&amp;T54))</f>
        <v>تسريع اعتماد مصفوفة الصلاحيات الشاملة،  جدولة جلسة اعتماد لائحة مجلس الإدارة</v>
      </c>
    </row>
    <row r="55" customFormat="false" ht="15" hidden="false" customHeight="false" outlineLevel="0" collapsed="false">
      <c r="Q55" s="50" t="str">
        <f aca="false">IFERROR(IF(INDEX(tblDeliverables[مؤشر الالتزام الزمني],53)="متأخر",INDEX(tblDeliverables[المخرج],53),""),"")</f>
        <v/>
      </c>
      <c r="R55" s="50" t="str">
        <f aca="false">IFERROR(IF(AND(INDEX(tblDeliverables[الأولوية],53)="عالية",INDEX(tblDeliverables[الحالة الحالية],53)&lt;&gt;"معتمد ونافذ",INDEX(tblDeliverables[المخرج],53)&lt;&gt;""),INDEX(tblDeliverables[المخرج],53),""),"")</f>
        <v/>
      </c>
      <c r="S55" s="50" t="str">
        <f aca="false">IFERROR(IF(INDEX(tblMeetings[الحالة],53)="مفتوح",INDEX(tblMeetings[أهم القرارات],53),""),"")</f>
        <v/>
      </c>
      <c r="T55" s="50" t="str">
        <f aca="false">IFERROR(IF(AND(INDEX(tblMeetings[تاريخ الاستحقاق],53)&lt;&gt;"",INDEX(tblMeetings[تاريخ الاستحقاق],53)&gt;=TODAY(),INDEX(tblMeetings[تاريخ الاستحقاق],53)&lt;=TODAY()+14,INDEX(tblMeetings[الحالة],53)&lt;&gt;"مغلق"),INDEX(tblMeetings[الإجراءات المطلوبة],53),""),"")</f>
        <v/>
      </c>
      <c r="V55" s="50" t="str">
        <f aca="false">IF(Q55="",V54,IF(V54="",Q55,V54&amp;"،  "&amp;Q55))</f>
        <v>مصفوفة الصلاحيات الشاملة</v>
      </c>
      <c r="W55" s="50" t="str">
        <f aca="false">IF(R55="",W54,IF(W54="",R55,W54&amp;"،  "&amp;R55))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5" s="50" t="str">
        <f aca="false">IF(S55="",X54,IF(X54="",S55,X54&amp;"،  "&amp;S55))</f>
        <v>مراجعة حالة المخرجات المتأخرة،  الموافقة على رفع لوائح اللجان للمجلس</v>
      </c>
      <c r="Y55" s="50" t="str">
        <f aca="false">IF(T55="",Y54,IF(Y54="",T55,Y54&amp;"،  "&amp;T55))</f>
        <v>تسريع اعتماد مصفوفة الصلاحيات الشاملة،  جدولة جلسة اعتماد لائحة مجلس الإدارة</v>
      </c>
    </row>
    <row r="56" customFormat="false" ht="15" hidden="false" customHeight="false" outlineLevel="0" collapsed="false">
      <c r="Q56" s="50" t="str">
        <f aca="false">IFERROR(IF(INDEX(tblDeliverables[مؤشر الالتزام الزمني],54)="متأخر",INDEX(tblDeliverables[المخرج],54),""),"")</f>
        <v/>
      </c>
      <c r="R56" s="50" t="str">
        <f aca="false">IFERROR(IF(AND(INDEX(tblDeliverables[الأولوية],54)="عالية",INDEX(tblDeliverables[الحالة الحالية],54)&lt;&gt;"معتمد ونافذ",INDEX(tblDeliverables[المخرج],54)&lt;&gt;""),INDEX(tblDeliverables[المخرج],54),""),"")</f>
        <v/>
      </c>
      <c r="S56" s="50" t="str">
        <f aca="false">IFERROR(IF(INDEX(tblMeetings[الحالة],54)="مفتوح",INDEX(tblMeetings[أهم القرارات],54),""),"")</f>
        <v/>
      </c>
      <c r="T56" s="50" t="str">
        <f aca="false">IFERROR(IF(AND(INDEX(tblMeetings[تاريخ الاستحقاق],54)&lt;&gt;"",INDEX(tblMeetings[تاريخ الاستحقاق],54)&gt;=TODAY(),INDEX(tblMeetings[تاريخ الاستحقاق],54)&lt;=TODAY()+14,INDEX(tblMeetings[الحالة],54)&lt;&gt;"مغلق"),INDEX(tblMeetings[الإجراءات المطلوبة],54),""),"")</f>
        <v/>
      </c>
      <c r="V56" s="50" t="str">
        <f aca="false">IF(Q56="",V55,IF(V55="",Q56,V55&amp;"،  "&amp;Q56))</f>
        <v>مصفوفة الصلاحيات الشاملة</v>
      </c>
      <c r="W56" s="50" t="str">
        <f aca="false">IF(R56="",W55,IF(W55="",R56,W55&amp;"،  "&amp;R56))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6" s="50" t="str">
        <f aca="false">IF(S56="",X55,IF(X55="",S56,X55&amp;"،  "&amp;S56))</f>
        <v>مراجعة حالة المخرجات المتأخرة،  الموافقة على رفع لوائح اللجان للمجلس</v>
      </c>
      <c r="Y56" s="50" t="str">
        <f aca="false">IF(T56="",Y55,IF(Y55="",T56,Y55&amp;"،  "&amp;T56))</f>
        <v>تسريع اعتماد مصفوفة الصلاحيات الشاملة،  جدولة جلسة اعتماد لائحة مجلس الإدارة</v>
      </c>
    </row>
    <row r="57" customFormat="false" ht="15" hidden="false" customHeight="false" outlineLevel="0" collapsed="false">
      <c r="Q57" s="50" t="str">
        <f aca="false">IFERROR(IF(INDEX(tblDeliverables[مؤشر الالتزام الزمني],55)="متأخر",INDEX(tblDeliverables[المخرج],55),""),"")</f>
        <v/>
      </c>
      <c r="R57" s="50" t="str">
        <f aca="false">IFERROR(IF(AND(INDEX(tblDeliverables[الأولوية],55)="عالية",INDEX(tblDeliverables[الحالة الحالية],55)&lt;&gt;"معتمد ونافذ",INDEX(tblDeliverables[المخرج],55)&lt;&gt;""),INDEX(tblDeliverables[المخرج],55),""),"")</f>
        <v/>
      </c>
      <c r="S57" s="50" t="str">
        <f aca="false">IFERROR(IF(INDEX(tblMeetings[الحالة],55)="مفتوح",INDEX(tblMeetings[أهم القرارات],55),""),"")</f>
        <v/>
      </c>
      <c r="T57" s="50" t="str">
        <f aca="false">IFERROR(IF(AND(INDEX(tblMeetings[تاريخ الاستحقاق],55)&lt;&gt;"",INDEX(tblMeetings[تاريخ الاستحقاق],55)&gt;=TODAY(),INDEX(tblMeetings[تاريخ الاستحقاق],55)&lt;=TODAY()+14,INDEX(tblMeetings[الحالة],55)&lt;&gt;"مغلق"),INDEX(tblMeetings[الإجراءات المطلوبة],55),""),"")</f>
        <v/>
      </c>
      <c r="V57" s="50" t="str">
        <f aca="false">IF(Q57="",V56,IF(V56="",Q57,V56&amp;"،  "&amp;Q57))</f>
        <v>مصفوفة الصلاحيات الشاملة</v>
      </c>
      <c r="W57" s="50" t="str">
        <f aca="false">IF(R57="",W56,IF(W56="",R57,W56&amp;"،  "&amp;R57))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7" s="50" t="str">
        <f aca="false">IF(S57="",X56,IF(X56="",S57,X56&amp;"،  "&amp;S57))</f>
        <v>مراجعة حالة المخرجات المتأخرة،  الموافقة على رفع لوائح اللجان للمجلس</v>
      </c>
      <c r="Y57" s="50" t="str">
        <f aca="false">IF(T57="",Y56,IF(Y56="",T57,Y56&amp;"،  "&amp;T57))</f>
        <v>تسريع اعتماد مصفوفة الصلاحيات الشاملة،  جدولة جلسة اعتماد لائحة مجلس الإدارة</v>
      </c>
    </row>
    <row r="58" customFormat="false" ht="15" hidden="false" customHeight="false" outlineLevel="0" collapsed="false">
      <c r="Q58" s="50" t="str">
        <f aca="false">IFERROR(IF(INDEX(tblDeliverables[مؤشر الالتزام الزمني],56)="متأخر",INDEX(tblDeliverables[المخرج],56),""),"")</f>
        <v/>
      </c>
      <c r="R58" s="50" t="str">
        <f aca="false">IFERROR(IF(AND(INDEX(tblDeliverables[الأولوية],56)="عالية",INDEX(tblDeliverables[الحالة الحالية],56)&lt;&gt;"معتمد ونافذ",INDEX(tblDeliverables[المخرج],56)&lt;&gt;""),INDEX(tblDeliverables[المخرج],56),""),"")</f>
        <v/>
      </c>
      <c r="S58" s="50" t="str">
        <f aca="false">IFERROR(IF(INDEX(tblMeetings[الحالة],56)="مفتوح",INDEX(tblMeetings[أهم القرارات],56),""),"")</f>
        <v/>
      </c>
      <c r="T58" s="50" t="str">
        <f aca="false">IFERROR(IF(AND(INDEX(tblMeetings[تاريخ الاستحقاق],56)&lt;&gt;"",INDEX(tblMeetings[تاريخ الاستحقاق],56)&gt;=TODAY(),INDEX(tblMeetings[تاريخ الاستحقاق],56)&lt;=TODAY()+14,INDEX(tblMeetings[الحالة],56)&lt;&gt;"مغلق"),INDEX(tblMeetings[الإجراءات المطلوبة],56),""),"")</f>
        <v/>
      </c>
      <c r="V58" s="50" t="str">
        <f aca="false">IF(Q58="",V57,IF(V57="",Q58,V57&amp;"،  "&amp;Q58))</f>
        <v>مصفوفة الصلاحيات الشاملة</v>
      </c>
      <c r="W58" s="50" t="str">
        <f aca="false">IF(R58="",W57,IF(W57="",R58,W57&amp;"،  "&amp;R58))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8" s="50" t="str">
        <f aca="false">IF(S58="",X57,IF(X57="",S58,X57&amp;"،  "&amp;S58))</f>
        <v>مراجعة حالة المخرجات المتأخرة،  الموافقة على رفع لوائح اللجان للمجلس</v>
      </c>
      <c r="Y58" s="50" t="str">
        <f aca="false">IF(T58="",Y57,IF(Y57="",T58,Y57&amp;"،  "&amp;T58))</f>
        <v>تسريع اعتماد مصفوفة الصلاحيات الشاملة،  جدولة جلسة اعتماد لائحة مجلس الإدارة</v>
      </c>
    </row>
    <row r="59" customFormat="false" ht="15" hidden="false" customHeight="false" outlineLevel="0" collapsed="false">
      <c r="Q59" s="50" t="str">
        <f aca="false">IFERROR(IF(INDEX(tblDeliverables[مؤشر الالتزام الزمني],57)="متأخر",INDEX(tblDeliverables[المخرج],57),""),"")</f>
        <v/>
      </c>
      <c r="R59" s="50" t="str">
        <f aca="false">IFERROR(IF(AND(INDEX(tblDeliverables[الأولوية],57)="عالية",INDEX(tblDeliverables[الحالة الحالية],57)&lt;&gt;"معتمد ونافذ",INDEX(tblDeliverables[المخرج],57)&lt;&gt;""),INDEX(tblDeliverables[المخرج],57),""),"")</f>
        <v/>
      </c>
      <c r="S59" s="50" t="str">
        <f aca="false">IFERROR(IF(INDEX(tblMeetings[الحالة],57)="مفتوح",INDEX(tblMeetings[أهم القرارات],57),""),"")</f>
        <v/>
      </c>
      <c r="T59" s="50" t="str">
        <f aca="false">IFERROR(IF(AND(INDEX(tblMeetings[تاريخ الاستحقاق],57)&lt;&gt;"",INDEX(tblMeetings[تاريخ الاستحقاق],57)&gt;=TODAY(),INDEX(tblMeetings[تاريخ الاستحقاق],57)&lt;=TODAY()+14,INDEX(tblMeetings[الحالة],57)&lt;&gt;"مغلق"),INDEX(tblMeetings[الإجراءات المطلوبة],57),""),"")</f>
        <v/>
      </c>
      <c r="V59" s="50" t="str">
        <f aca="false">IF(Q59="",V58,IF(V58="",Q59,V58&amp;"،  "&amp;Q59))</f>
        <v>مصفوفة الصلاحيات الشاملة</v>
      </c>
      <c r="W59" s="50" t="str">
        <f aca="false">IF(R59="",W58,IF(W58="",R59,W58&amp;"،  "&amp;R59))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59" s="50" t="str">
        <f aca="false">IF(S59="",X58,IF(X58="",S59,X58&amp;"،  "&amp;S59))</f>
        <v>مراجعة حالة المخرجات المتأخرة،  الموافقة على رفع لوائح اللجان للمجلس</v>
      </c>
      <c r="Y59" s="50" t="str">
        <f aca="false">IF(T59="",Y58,IF(Y58="",T59,Y58&amp;"،  "&amp;T59))</f>
        <v>تسريع اعتماد مصفوفة الصلاحيات الشاملة،  جدولة جلسة اعتماد لائحة مجلس الإدارة</v>
      </c>
    </row>
    <row r="60" customFormat="false" ht="15" hidden="false" customHeight="false" outlineLevel="0" collapsed="false">
      <c r="Q60" s="50" t="str">
        <f aca="false">IFERROR(IF(INDEX(tblDeliverables[مؤشر الالتزام الزمني],58)="متأخر",INDEX(tblDeliverables[المخرج],58),""),"")</f>
        <v/>
      </c>
      <c r="R60" s="50" t="str">
        <f aca="false">IFERROR(IF(AND(INDEX(tblDeliverables[الأولوية],58)="عالية",INDEX(tblDeliverables[الحالة الحالية],58)&lt;&gt;"معتمد ونافذ",INDEX(tblDeliverables[المخرج],58)&lt;&gt;""),INDEX(tblDeliverables[المخرج],58),""),"")</f>
        <v/>
      </c>
      <c r="S60" s="50" t="str">
        <f aca="false">IFERROR(IF(INDEX(tblMeetings[الحالة],58)="مفتوح",INDEX(tblMeetings[أهم القرارات],58),""),"")</f>
        <v/>
      </c>
      <c r="T60" s="50" t="str">
        <f aca="false">IFERROR(IF(AND(INDEX(tblMeetings[تاريخ الاستحقاق],58)&lt;&gt;"",INDEX(tblMeetings[تاريخ الاستحقاق],58)&gt;=TODAY(),INDEX(tblMeetings[تاريخ الاستحقاق],58)&lt;=TODAY()+14,INDEX(tblMeetings[الحالة],58)&lt;&gt;"مغلق"),INDEX(tblMeetings[الإجراءات المطلوبة],58),""),"")</f>
        <v/>
      </c>
      <c r="V60" s="50" t="str">
        <f aca="false">IF(Q60="",V59,IF(V59="",Q60,V59&amp;"،  "&amp;Q60))</f>
        <v>مصفوفة الصلاحيات الشاملة</v>
      </c>
      <c r="W60" s="50" t="str">
        <f aca="false">IF(R60="",W59,IF(W59="",R60,W59&amp;"،  "&amp;R60))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0" s="50" t="str">
        <f aca="false">IF(S60="",X59,IF(X59="",S60,X59&amp;"،  "&amp;S60))</f>
        <v>مراجعة حالة المخرجات المتأخرة،  الموافقة على رفع لوائح اللجان للمجلس</v>
      </c>
      <c r="Y60" s="50" t="str">
        <f aca="false">IF(T60="",Y59,IF(Y59="",T60,Y59&amp;"،  "&amp;T60))</f>
        <v>تسريع اعتماد مصفوفة الصلاحيات الشاملة،  جدولة جلسة اعتماد لائحة مجلس الإدارة</v>
      </c>
    </row>
    <row r="61" customFormat="false" ht="15" hidden="false" customHeight="false" outlineLevel="0" collapsed="false">
      <c r="Q61" s="50" t="str">
        <f aca="false">IFERROR(IF(INDEX(tblDeliverables[مؤشر الالتزام الزمني],59)="متأخر",INDEX(tblDeliverables[المخرج],59),""),"")</f>
        <v/>
      </c>
      <c r="R61" s="50" t="str">
        <f aca="false">IFERROR(IF(AND(INDEX(tblDeliverables[الأولوية],59)="عالية",INDEX(tblDeliverables[الحالة الحالية],59)&lt;&gt;"معتمد ونافذ",INDEX(tblDeliverables[المخرج],59)&lt;&gt;""),INDEX(tblDeliverables[المخرج],59),""),"")</f>
        <v/>
      </c>
      <c r="S61" s="50" t="str">
        <f aca="false">IFERROR(IF(INDEX(tblMeetings[الحالة],59)="مفتوح",INDEX(tblMeetings[أهم القرارات],59),""),"")</f>
        <v/>
      </c>
      <c r="T61" s="50" t="str">
        <f aca="false">IFERROR(IF(AND(INDEX(tblMeetings[تاريخ الاستحقاق],59)&lt;&gt;"",INDEX(tblMeetings[تاريخ الاستحقاق],59)&gt;=TODAY(),INDEX(tblMeetings[تاريخ الاستحقاق],59)&lt;=TODAY()+14,INDEX(tblMeetings[الحالة],59)&lt;&gt;"مغلق"),INDEX(tblMeetings[الإجراءات المطلوبة],59),""),"")</f>
        <v/>
      </c>
      <c r="V61" s="50" t="str">
        <f aca="false">IF(Q61="",V60,IF(V60="",Q61,V60&amp;"،  "&amp;Q61))</f>
        <v>مصفوفة الصلاحيات الشاملة</v>
      </c>
      <c r="W61" s="50" t="str">
        <f aca="false">IF(R61="",W60,IF(W60="",R61,W60&amp;"،  "&amp;R61))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1" s="50" t="str">
        <f aca="false">IF(S61="",X60,IF(X60="",S61,X60&amp;"،  "&amp;S61))</f>
        <v>مراجعة حالة المخرجات المتأخرة،  الموافقة على رفع لوائح اللجان للمجلس</v>
      </c>
      <c r="Y61" s="50" t="str">
        <f aca="false">IF(T61="",Y60,IF(Y60="",T61,Y60&amp;"،  "&amp;T61))</f>
        <v>تسريع اعتماد مصفوفة الصلاحيات الشاملة،  جدولة جلسة اعتماد لائحة مجلس الإدارة</v>
      </c>
    </row>
    <row r="62" customFormat="false" ht="15" hidden="false" customHeight="false" outlineLevel="0" collapsed="false">
      <c r="Q62" s="50" t="str">
        <f aca="false">IFERROR(IF(INDEX(tblDeliverables[مؤشر الالتزام الزمني],60)="متأخر",INDEX(tblDeliverables[المخرج],60),""),"")</f>
        <v/>
      </c>
      <c r="R62" s="50" t="str">
        <f aca="false">IFERROR(IF(AND(INDEX(tblDeliverables[الأولوية],60)="عالية",INDEX(tblDeliverables[الحالة الحالية],60)&lt;&gt;"معتمد ونافذ",INDEX(tblDeliverables[المخرج],60)&lt;&gt;""),INDEX(tblDeliverables[المخرج],60),""),"")</f>
        <v/>
      </c>
      <c r="S62" s="50" t="str">
        <f aca="false">IFERROR(IF(INDEX(tblMeetings[الحالة],60)="مفتوح",INDEX(tblMeetings[أهم القرارات],60),""),"")</f>
        <v/>
      </c>
      <c r="T62" s="50" t="str">
        <f aca="false">IFERROR(IF(AND(INDEX(tblMeetings[تاريخ الاستحقاق],60)&lt;&gt;"",INDEX(tblMeetings[تاريخ الاستحقاق],60)&gt;=TODAY(),INDEX(tblMeetings[تاريخ الاستحقاق],60)&lt;=TODAY()+14,INDEX(tblMeetings[الحالة],60)&lt;&gt;"مغلق"),INDEX(tblMeetings[الإجراءات المطلوبة],60),""),"")</f>
        <v/>
      </c>
      <c r="V62" s="50" t="str">
        <f aca="false">IF(Q62="",V61,IF(V61="",Q62,V61&amp;"،  "&amp;Q62))</f>
        <v>مصفوفة الصلاحيات الشاملة</v>
      </c>
      <c r="W62" s="50" t="str">
        <f aca="false">IF(R62="",W61,IF(W61="",R62,W61&amp;"،  "&amp;R62))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2" s="50" t="str">
        <f aca="false">IF(S62="",X61,IF(X61="",S62,X61&amp;"،  "&amp;S62))</f>
        <v>مراجعة حالة المخرجات المتأخرة،  الموافقة على رفع لوائح اللجان للمجلس</v>
      </c>
      <c r="Y62" s="50" t="str">
        <f aca="false">IF(T62="",Y61,IF(Y61="",T62,Y61&amp;"،  "&amp;T62))</f>
        <v>تسريع اعتماد مصفوفة الصلاحيات الشاملة،  جدولة جلسة اعتماد لائحة مجلس الإدارة</v>
      </c>
    </row>
    <row r="63" customFormat="false" ht="15" hidden="false" customHeight="false" outlineLevel="0" collapsed="false">
      <c r="Q63" s="50" t="str">
        <f aca="false">IFERROR(IF(INDEX(tblDeliverables[مؤشر الالتزام الزمني],61)="متأخر",INDEX(tblDeliverables[المخرج],61),""),"")</f>
        <v/>
      </c>
      <c r="R63" s="50" t="str">
        <f aca="false">IFERROR(IF(AND(INDEX(tblDeliverables[الأولوية],61)="عالية",INDEX(tblDeliverables[الحالة الحالية],61)&lt;&gt;"معتمد ونافذ",INDEX(tblDeliverables[المخرج],61)&lt;&gt;""),INDEX(tblDeliverables[المخرج],61),""),"")</f>
        <v/>
      </c>
      <c r="S63" s="50" t="str">
        <f aca="false">IFERROR(IF(INDEX(tblMeetings[الحالة],61)="مفتوح",INDEX(tblMeetings[أهم القرارات],61),""),"")</f>
        <v/>
      </c>
      <c r="T63" s="50" t="str">
        <f aca="false">IFERROR(IF(AND(INDEX(tblMeetings[تاريخ الاستحقاق],61)&lt;&gt;"",INDEX(tblMeetings[تاريخ الاستحقاق],61)&gt;=TODAY(),INDEX(tblMeetings[تاريخ الاستحقاق],61)&lt;=TODAY()+14,INDEX(tblMeetings[الحالة],61)&lt;&gt;"مغلق"),INDEX(tblMeetings[الإجراءات المطلوبة],61),""),"")</f>
        <v/>
      </c>
      <c r="V63" s="50" t="str">
        <f aca="false">IF(Q63="",V62,IF(V62="",Q63,V62&amp;"،  "&amp;Q63))</f>
        <v>مصفوفة الصلاحيات الشاملة</v>
      </c>
      <c r="W63" s="50" t="str">
        <f aca="false">IF(R63="",W62,IF(W62="",R63,W62&amp;"،  "&amp;R63))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3" s="50" t="str">
        <f aca="false">IF(S63="",X62,IF(X62="",S63,X62&amp;"،  "&amp;S63))</f>
        <v>مراجعة حالة المخرجات المتأخرة،  الموافقة على رفع لوائح اللجان للمجلس</v>
      </c>
      <c r="Y63" s="50" t="str">
        <f aca="false">IF(T63="",Y62,IF(Y62="",T63,Y62&amp;"،  "&amp;T63))</f>
        <v>تسريع اعتماد مصفوفة الصلاحيات الشاملة،  جدولة جلسة اعتماد لائحة مجلس الإدارة</v>
      </c>
    </row>
    <row r="64" customFormat="false" ht="15" hidden="false" customHeight="false" outlineLevel="0" collapsed="false">
      <c r="Q64" s="50" t="str">
        <f aca="false">IFERROR(IF(INDEX(tblDeliverables[مؤشر الالتزام الزمني],62)="متأخر",INDEX(tblDeliverables[المخرج],62),""),"")</f>
        <v/>
      </c>
      <c r="R64" s="50" t="str">
        <f aca="false">IFERROR(IF(AND(INDEX(tblDeliverables[الأولوية],62)="عالية",INDEX(tblDeliverables[الحالة الحالية],62)&lt;&gt;"معتمد ونافذ",INDEX(tblDeliverables[المخرج],62)&lt;&gt;""),INDEX(tblDeliverables[المخرج],62),""),"")</f>
        <v/>
      </c>
      <c r="S64" s="50" t="str">
        <f aca="false">IFERROR(IF(INDEX(tblMeetings[الحالة],62)="مفتوح",INDEX(tblMeetings[أهم القرارات],62),""),"")</f>
        <v/>
      </c>
      <c r="T64" s="50" t="str">
        <f aca="false">IFERROR(IF(AND(INDEX(tblMeetings[تاريخ الاستحقاق],62)&lt;&gt;"",INDEX(tblMeetings[تاريخ الاستحقاق],62)&gt;=TODAY(),INDEX(tblMeetings[تاريخ الاستحقاق],62)&lt;=TODAY()+14,INDEX(tblMeetings[الحالة],62)&lt;&gt;"مغلق"),INDEX(tblMeetings[الإجراءات المطلوبة],62),""),"")</f>
        <v/>
      </c>
      <c r="V64" s="50" t="str">
        <f aca="false">IF(Q64="",V63,IF(V63="",Q64,V63&amp;"،  "&amp;Q64))</f>
        <v>مصفوفة الصلاحيات الشاملة</v>
      </c>
      <c r="W64" s="50" t="str">
        <f aca="false">IF(R64="",W63,IF(W63="",R64,W63&amp;"،  "&amp;R64))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4" s="50" t="str">
        <f aca="false">IF(S64="",X63,IF(X63="",S64,X63&amp;"،  "&amp;S64))</f>
        <v>مراجعة حالة المخرجات المتأخرة،  الموافقة على رفع لوائح اللجان للمجلس</v>
      </c>
      <c r="Y64" s="50" t="str">
        <f aca="false">IF(T64="",Y63,IF(Y63="",T64,Y63&amp;"،  "&amp;T64))</f>
        <v>تسريع اعتماد مصفوفة الصلاحيات الشاملة،  جدولة جلسة اعتماد لائحة مجلس الإدارة</v>
      </c>
    </row>
    <row r="65" customFormat="false" ht="15" hidden="false" customHeight="false" outlineLevel="0" collapsed="false">
      <c r="Q65" s="50" t="str">
        <f aca="false">IFERROR(IF(INDEX(tblDeliverables[مؤشر الالتزام الزمني],63)="متأخر",INDEX(tblDeliverables[المخرج],63),""),"")</f>
        <v/>
      </c>
      <c r="R65" s="50" t="str">
        <f aca="false">IFERROR(IF(AND(INDEX(tblDeliverables[الأولوية],63)="عالية",INDEX(tblDeliverables[الحالة الحالية],63)&lt;&gt;"معتمد ونافذ",INDEX(tblDeliverables[المخرج],63)&lt;&gt;""),INDEX(tblDeliverables[المخرج],63),""),"")</f>
        <v/>
      </c>
      <c r="S65" s="50" t="str">
        <f aca="false">IFERROR(IF(INDEX(tblMeetings[الحالة],63)="مفتوح",INDEX(tblMeetings[أهم القرارات],63),""),"")</f>
        <v/>
      </c>
      <c r="T65" s="50" t="str">
        <f aca="false">IFERROR(IF(AND(INDEX(tblMeetings[تاريخ الاستحقاق],63)&lt;&gt;"",INDEX(tblMeetings[تاريخ الاستحقاق],63)&gt;=TODAY(),INDEX(tblMeetings[تاريخ الاستحقاق],63)&lt;=TODAY()+14,INDEX(tblMeetings[الحالة],63)&lt;&gt;"مغلق"),INDEX(tblMeetings[الإجراءات المطلوبة],63),""),"")</f>
        <v/>
      </c>
      <c r="V65" s="50" t="str">
        <f aca="false">IF(Q65="",V64,IF(V64="",Q65,V64&amp;"،  "&amp;Q65))</f>
        <v>مصفوفة الصلاحيات الشاملة</v>
      </c>
      <c r="W65" s="50" t="str">
        <f aca="false">IF(R65="",W64,IF(W64="",R65,W64&amp;"،  "&amp;R65))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5" s="50" t="str">
        <f aca="false">IF(S65="",X64,IF(X64="",S65,X64&amp;"،  "&amp;S65))</f>
        <v>مراجعة حالة المخرجات المتأخرة،  الموافقة على رفع لوائح اللجان للمجلس</v>
      </c>
      <c r="Y65" s="50" t="str">
        <f aca="false">IF(T65="",Y64,IF(Y64="",T65,Y64&amp;"،  "&amp;T65))</f>
        <v>تسريع اعتماد مصفوفة الصلاحيات الشاملة،  جدولة جلسة اعتماد لائحة مجلس الإدارة</v>
      </c>
    </row>
    <row r="66" customFormat="false" ht="15" hidden="false" customHeight="false" outlineLevel="0" collapsed="false">
      <c r="Q66" s="50" t="str">
        <f aca="false">IFERROR(IF(INDEX(tblDeliverables[مؤشر الالتزام الزمني],64)="متأخر",INDEX(tblDeliverables[المخرج],64),""),"")</f>
        <v/>
      </c>
      <c r="R66" s="50" t="str">
        <f aca="false">IFERROR(IF(AND(INDEX(tblDeliverables[الأولوية],64)="عالية",INDEX(tblDeliverables[الحالة الحالية],64)&lt;&gt;"معتمد ونافذ",INDEX(tblDeliverables[المخرج],64)&lt;&gt;""),INDEX(tblDeliverables[المخرج],64),""),"")</f>
        <v/>
      </c>
      <c r="S66" s="50" t="str">
        <f aca="false">IFERROR(IF(INDEX(tblMeetings[الحالة],64)="مفتوح",INDEX(tblMeetings[أهم القرارات],64),""),"")</f>
        <v/>
      </c>
      <c r="T66" s="50" t="str">
        <f aca="false">IFERROR(IF(AND(INDEX(tblMeetings[تاريخ الاستحقاق],64)&lt;&gt;"",INDEX(tblMeetings[تاريخ الاستحقاق],64)&gt;=TODAY(),INDEX(tblMeetings[تاريخ الاستحقاق],64)&lt;=TODAY()+14,INDEX(tblMeetings[الحالة],64)&lt;&gt;"مغلق"),INDEX(tblMeetings[الإجراءات المطلوبة],64),""),"")</f>
        <v/>
      </c>
      <c r="V66" s="50" t="str">
        <f aca="false">IF(Q66="",V65,IF(V65="",Q66,V65&amp;"،  "&amp;Q66))</f>
        <v>مصفوفة الصلاحيات الشاملة</v>
      </c>
      <c r="W66" s="50" t="str">
        <f aca="false">IF(R66="",W65,IF(W65="",R66,W65&amp;"،  "&amp;R66))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6" s="50" t="str">
        <f aca="false">IF(S66="",X65,IF(X65="",S66,X65&amp;"،  "&amp;S66))</f>
        <v>مراجعة حالة المخرجات المتأخرة،  الموافقة على رفع لوائح اللجان للمجلس</v>
      </c>
      <c r="Y66" s="50" t="str">
        <f aca="false">IF(T66="",Y65,IF(Y65="",T66,Y65&amp;"،  "&amp;T66))</f>
        <v>تسريع اعتماد مصفوفة الصلاحيات الشاملة،  جدولة جلسة اعتماد لائحة مجلس الإدارة</v>
      </c>
    </row>
    <row r="67" customFormat="false" ht="15" hidden="false" customHeight="false" outlineLevel="0" collapsed="false">
      <c r="Q67" s="50" t="str">
        <f aca="false">IFERROR(IF(INDEX(tblDeliverables[مؤشر الالتزام الزمني],65)="متأخر",INDEX(tblDeliverables[المخرج],65),""),"")</f>
        <v/>
      </c>
      <c r="R67" s="50" t="str">
        <f aca="false">IFERROR(IF(AND(INDEX(tblDeliverables[الأولوية],65)="عالية",INDEX(tblDeliverables[الحالة الحالية],65)&lt;&gt;"معتمد ونافذ",INDEX(tblDeliverables[المخرج],65)&lt;&gt;""),INDEX(tblDeliverables[المخرج],65),""),"")</f>
        <v/>
      </c>
      <c r="S67" s="50" t="str">
        <f aca="false">IFERROR(IF(INDEX(tblMeetings[الحالة],65)="مفتوح",INDEX(tblMeetings[أهم القرارات],65),""),"")</f>
        <v/>
      </c>
      <c r="T67" s="50" t="str">
        <f aca="false">IFERROR(IF(AND(INDEX(tblMeetings[تاريخ الاستحقاق],65)&lt;&gt;"",INDEX(tblMeetings[تاريخ الاستحقاق],65)&gt;=TODAY(),INDEX(tblMeetings[تاريخ الاستحقاق],65)&lt;=TODAY()+14,INDEX(tblMeetings[الحالة],65)&lt;&gt;"مغلق"),INDEX(tblMeetings[الإجراءات المطلوبة],65),""),"")</f>
        <v/>
      </c>
      <c r="V67" s="50" t="str">
        <f aca="false">IF(Q67="",V66,IF(V66="",Q67,V66&amp;"،  "&amp;Q67))</f>
        <v>مصفوفة الصلاحيات الشاملة</v>
      </c>
      <c r="W67" s="50" t="str">
        <f aca="false">IF(R67="",W66,IF(W66="",R67,W66&amp;"،  "&amp;R67))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7" s="50" t="str">
        <f aca="false">IF(S67="",X66,IF(X66="",S67,X66&amp;"،  "&amp;S67))</f>
        <v>مراجعة حالة المخرجات المتأخرة،  الموافقة على رفع لوائح اللجان للمجلس</v>
      </c>
      <c r="Y67" s="50" t="str">
        <f aca="false">IF(T67="",Y66,IF(Y66="",T67,Y66&amp;"،  "&amp;T67))</f>
        <v>تسريع اعتماد مصفوفة الصلاحيات الشاملة،  جدولة جلسة اعتماد لائحة مجلس الإدارة</v>
      </c>
    </row>
    <row r="68" customFormat="false" ht="15" hidden="false" customHeight="false" outlineLevel="0" collapsed="false">
      <c r="Q68" s="50" t="str">
        <f aca="false">IFERROR(IF(INDEX(tblDeliverables[مؤشر الالتزام الزمني],66)="متأخر",INDEX(tblDeliverables[المخرج],66),""),"")</f>
        <v/>
      </c>
      <c r="R68" s="50" t="str">
        <f aca="false">IFERROR(IF(AND(INDEX(tblDeliverables[الأولوية],66)="عالية",INDEX(tblDeliverables[الحالة الحالية],66)&lt;&gt;"معتمد ونافذ",INDEX(tblDeliverables[المخرج],66)&lt;&gt;""),INDEX(tblDeliverables[المخرج],66),""),"")</f>
        <v/>
      </c>
      <c r="S68" s="50" t="str">
        <f aca="false">IFERROR(IF(INDEX(tblMeetings[الحالة],66)="مفتوح",INDEX(tblMeetings[أهم القرارات],66),""),"")</f>
        <v/>
      </c>
      <c r="T68" s="50" t="str">
        <f aca="false">IFERROR(IF(AND(INDEX(tblMeetings[تاريخ الاستحقاق],66)&lt;&gt;"",INDEX(tblMeetings[تاريخ الاستحقاق],66)&gt;=TODAY(),INDEX(tblMeetings[تاريخ الاستحقاق],66)&lt;=TODAY()+14,INDEX(tblMeetings[الحالة],66)&lt;&gt;"مغلق"),INDEX(tblMeetings[الإجراءات المطلوبة],66),""),"")</f>
        <v/>
      </c>
      <c r="V68" s="50" t="str">
        <f aca="false">IF(Q68="",V67,IF(V67="",Q68,V67&amp;"،  "&amp;Q68))</f>
        <v>مصفوفة الصلاحيات الشاملة</v>
      </c>
      <c r="W68" s="50" t="str">
        <f aca="false">IF(R68="",W67,IF(W67="",R68,W67&amp;"،  "&amp;R68))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8" s="50" t="str">
        <f aca="false">IF(S68="",X67,IF(X67="",S68,X67&amp;"،  "&amp;S68))</f>
        <v>مراجعة حالة المخرجات المتأخرة،  الموافقة على رفع لوائح اللجان للمجلس</v>
      </c>
      <c r="Y68" s="50" t="str">
        <f aca="false">IF(T68="",Y67,IF(Y67="",T68,Y67&amp;"،  "&amp;T68))</f>
        <v>تسريع اعتماد مصفوفة الصلاحيات الشاملة،  جدولة جلسة اعتماد لائحة مجلس الإدارة</v>
      </c>
    </row>
    <row r="69" customFormat="false" ht="15" hidden="false" customHeight="false" outlineLevel="0" collapsed="false">
      <c r="Q69" s="50" t="str">
        <f aca="false">IFERROR(IF(INDEX(tblDeliverables[مؤشر الالتزام الزمني],67)="متأخر",INDEX(tblDeliverables[المخرج],67),""),"")</f>
        <v/>
      </c>
      <c r="R69" s="50" t="str">
        <f aca="false">IFERROR(IF(AND(INDEX(tblDeliverables[الأولوية],67)="عالية",INDEX(tblDeliverables[الحالة الحالية],67)&lt;&gt;"معتمد ونافذ",INDEX(tblDeliverables[المخرج],67)&lt;&gt;""),INDEX(tblDeliverables[المخرج],67),""),"")</f>
        <v/>
      </c>
      <c r="S69" s="50" t="str">
        <f aca="false">IFERROR(IF(INDEX(tblMeetings[الحالة],67)="مفتوح",INDEX(tblMeetings[أهم القرارات],67),""),"")</f>
        <v/>
      </c>
      <c r="T69" s="50" t="str">
        <f aca="false">IFERROR(IF(AND(INDEX(tblMeetings[تاريخ الاستحقاق],67)&lt;&gt;"",INDEX(tblMeetings[تاريخ الاستحقاق],67)&gt;=TODAY(),INDEX(tblMeetings[تاريخ الاستحقاق],67)&lt;=TODAY()+14,INDEX(tblMeetings[الحالة],67)&lt;&gt;"مغلق"),INDEX(tblMeetings[الإجراءات المطلوبة],67),""),"")</f>
        <v/>
      </c>
      <c r="V69" s="50" t="str">
        <f aca="false">IF(Q69="",V68,IF(V68="",Q69,V68&amp;"،  "&amp;Q69))</f>
        <v>مصفوفة الصلاحيات الشاملة</v>
      </c>
      <c r="W69" s="50" t="str">
        <f aca="false">IF(R69="",W68,IF(W68="",R69,W68&amp;"،  "&amp;R69))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69" s="50" t="str">
        <f aca="false">IF(S69="",X68,IF(X68="",S69,X68&amp;"،  "&amp;S69))</f>
        <v>مراجعة حالة المخرجات المتأخرة،  الموافقة على رفع لوائح اللجان للمجلس</v>
      </c>
      <c r="Y69" s="50" t="str">
        <f aca="false">IF(T69="",Y68,IF(Y68="",T69,Y68&amp;"،  "&amp;T69))</f>
        <v>تسريع اعتماد مصفوفة الصلاحيات الشاملة،  جدولة جلسة اعتماد لائحة مجلس الإدارة</v>
      </c>
    </row>
    <row r="70" customFormat="false" ht="15" hidden="false" customHeight="false" outlineLevel="0" collapsed="false">
      <c r="Q70" s="50" t="str">
        <f aca="false">IFERROR(IF(INDEX(tblDeliverables[مؤشر الالتزام الزمني],68)="متأخر",INDEX(tblDeliverables[المخرج],68),""),"")</f>
        <v/>
      </c>
      <c r="R70" s="50" t="str">
        <f aca="false">IFERROR(IF(AND(INDEX(tblDeliverables[الأولوية],68)="عالية",INDEX(tblDeliverables[الحالة الحالية],68)&lt;&gt;"معتمد ونافذ",INDEX(tblDeliverables[المخرج],68)&lt;&gt;""),INDEX(tblDeliverables[المخرج],68),""),"")</f>
        <v/>
      </c>
      <c r="S70" s="50" t="str">
        <f aca="false">IFERROR(IF(INDEX(tblMeetings[الحالة],68)="مفتوح",INDEX(tblMeetings[أهم القرارات],68),""),"")</f>
        <v/>
      </c>
      <c r="T70" s="50" t="str">
        <f aca="false">IFERROR(IF(AND(INDEX(tblMeetings[تاريخ الاستحقاق],68)&lt;&gt;"",INDEX(tblMeetings[تاريخ الاستحقاق],68)&gt;=TODAY(),INDEX(tblMeetings[تاريخ الاستحقاق],68)&lt;=TODAY()+14,INDEX(tblMeetings[الحالة],68)&lt;&gt;"مغلق"),INDEX(tblMeetings[الإجراءات المطلوبة],68),""),"")</f>
        <v/>
      </c>
      <c r="V70" s="50" t="str">
        <f aca="false">IF(Q70="",V69,IF(V69="",Q70,V69&amp;"،  "&amp;Q70))</f>
        <v>مصفوفة الصلاحيات الشاملة</v>
      </c>
      <c r="W70" s="50" t="str">
        <f aca="false">IF(R70="",W69,IF(W69="",R70,W69&amp;"،  "&amp;R70))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0" s="50" t="str">
        <f aca="false">IF(S70="",X69,IF(X69="",S70,X69&amp;"،  "&amp;S70))</f>
        <v>مراجعة حالة المخرجات المتأخرة،  الموافقة على رفع لوائح اللجان للمجلس</v>
      </c>
      <c r="Y70" s="50" t="str">
        <f aca="false">IF(T70="",Y69,IF(Y69="",T70,Y69&amp;"،  "&amp;T70))</f>
        <v>تسريع اعتماد مصفوفة الصلاحيات الشاملة،  جدولة جلسة اعتماد لائحة مجلس الإدارة</v>
      </c>
    </row>
    <row r="71" customFormat="false" ht="15" hidden="false" customHeight="false" outlineLevel="0" collapsed="false">
      <c r="Q71" s="50" t="str">
        <f aca="false">IFERROR(IF(INDEX(tblDeliverables[مؤشر الالتزام الزمني],69)="متأخر",INDEX(tblDeliverables[المخرج],69),""),"")</f>
        <v/>
      </c>
      <c r="R71" s="50" t="str">
        <f aca="false">IFERROR(IF(AND(INDEX(tblDeliverables[الأولوية],69)="عالية",INDEX(tblDeliverables[الحالة الحالية],69)&lt;&gt;"معتمد ونافذ",INDEX(tblDeliverables[المخرج],69)&lt;&gt;""),INDEX(tblDeliverables[المخرج],69),""),"")</f>
        <v/>
      </c>
      <c r="S71" s="50" t="str">
        <f aca="false">IFERROR(IF(INDEX(tblMeetings[الحالة],69)="مفتوح",INDEX(tblMeetings[أهم القرارات],69),""),"")</f>
        <v/>
      </c>
      <c r="T71" s="50" t="str">
        <f aca="false">IFERROR(IF(AND(INDEX(tblMeetings[تاريخ الاستحقاق],69)&lt;&gt;"",INDEX(tblMeetings[تاريخ الاستحقاق],69)&gt;=TODAY(),INDEX(tblMeetings[تاريخ الاستحقاق],69)&lt;=TODAY()+14,INDEX(tblMeetings[الحالة],69)&lt;&gt;"مغلق"),INDEX(tblMeetings[الإجراءات المطلوبة],69),""),"")</f>
        <v/>
      </c>
      <c r="V71" s="50" t="str">
        <f aca="false">IF(Q71="",V70,IF(V70="",Q71,V70&amp;"،  "&amp;Q71))</f>
        <v>مصفوفة الصلاحيات الشاملة</v>
      </c>
      <c r="W71" s="50" t="str">
        <f aca="false">IF(R71="",W70,IF(W70="",R71,W70&amp;"،  "&amp;R71))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1" s="50" t="str">
        <f aca="false">IF(S71="",X70,IF(X70="",S71,X70&amp;"،  "&amp;S71))</f>
        <v>مراجعة حالة المخرجات المتأخرة،  الموافقة على رفع لوائح اللجان للمجلس</v>
      </c>
      <c r="Y71" s="50" t="str">
        <f aca="false">IF(T71="",Y70,IF(Y70="",T71,Y70&amp;"،  "&amp;T71))</f>
        <v>تسريع اعتماد مصفوفة الصلاحيات الشاملة،  جدولة جلسة اعتماد لائحة مجلس الإدارة</v>
      </c>
    </row>
    <row r="72" customFormat="false" ht="15" hidden="false" customHeight="false" outlineLevel="0" collapsed="false">
      <c r="Q72" s="50" t="str">
        <f aca="false">IFERROR(IF(INDEX(tblDeliverables[مؤشر الالتزام الزمني],70)="متأخر",INDEX(tblDeliverables[المخرج],70),""),"")</f>
        <v/>
      </c>
      <c r="R72" s="50" t="str">
        <f aca="false">IFERROR(IF(AND(INDEX(tblDeliverables[الأولوية],70)="عالية",INDEX(tblDeliverables[الحالة الحالية],70)&lt;&gt;"معتمد ونافذ",INDEX(tblDeliverables[المخرج],70)&lt;&gt;""),INDEX(tblDeliverables[المخرج],70),""),"")</f>
        <v/>
      </c>
      <c r="S72" s="50" t="str">
        <f aca="false">IFERROR(IF(INDEX(tblMeetings[الحالة],70)="مفتوح",INDEX(tblMeetings[أهم القرارات],70),""),"")</f>
        <v/>
      </c>
      <c r="T72" s="50" t="str">
        <f aca="false">IFERROR(IF(AND(INDEX(tblMeetings[تاريخ الاستحقاق],70)&lt;&gt;"",INDEX(tblMeetings[تاريخ الاستحقاق],70)&gt;=TODAY(),INDEX(tblMeetings[تاريخ الاستحقاق],70)&lt;=TODAY()+14,INDEX(tblMeetings[الحالة],70)&lt;&gt;"مغلق"),INDEX(tblMeetings[الإجراءات المطلوبة],70),""),"")</f>
        <v/>
      </c>
      <c r="V72" s="50" t="str">
        <f aca="false">IF(Q72="",V71,IF(V71="",Q72,V71&amp;"،  "&amp;Q72))</f>
        <v>مصفوفة الصلاحيات الشاملة</v>
      </c>
      <c r="W72" s="50" t="str">
        <f aca="false">IF(R72="",W71,IF(W71="",R72,W71&amp;"،  "&amp;R72))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2" s="50" t="str">
        <f aca="false">IF(S72="",X71,IF(X71="",S72,X71&amp;"،  "&amp;S72))</f>
        <v>مراجعة حالة المخرجات المتأخرة،  الموافقة على رفع لوائح اللجان للمجلس</v>
      </c>
      <c r="Y72" s="50" t="str">
        <f aca="false">IF(T72="",Y71,IF(Y71="",T72,Y71&amp;"،  "&amp;T72))</f>
        <v>تسريع اعتماد مصفوفة الصلاحيات الشاملة،  جدولة جلسة اعتماد لائحة مجلس الإدارة</v>
      </c>
    </row>
    <row r="73" customFormat="false" ht="15" hidden="false" customHeight="false" outlineLevel="0" collapsed="false">
      <c r="Q73" s="50" t="str">
        <f aca="false">IFERROR(IF(INDEX(tblDeliverables[مؤشر الالتزام الزمني],71)="متأخر",INDEX(tblDeliverables[المخرج],71),""),"")</f>
        <v/>
      </c>
      <c r="R73" s="50" t="str">
        <f aca="false">IFERROR(IF(AND(INDEX(tblDeliverables[الأولوية],71)="عالية",INDEX(tblDeliverables[الحالة الحالية],71)&lt;&gt;"معتمد ونافذ",INDEX(tblDeliverables[المخرج],71)&lt;&gt;""),INDEX(tblDeliverables[المخرج],71),""),"")</f>
        <v/>
      </c>
      <c r="S73" s="50" t="str">
        <f aca="false">IFERROR(IF(INDEX(tblMeetings[الحالة],71)="مفتوح",INDEX(tblMeetings[أهم القرارات],71),""),"")</f>
        <v/>
      </c>
      <c r="T73" s="50" t="str">
        <f aca="false">IFERROR(IF(AND(INDEX(tblMeetings[تاريخ الاستحقاق],71)&lt;&gt;"",INDEX(tblMeetings[تاريخ الاستحقاق],71)&gt;=TODAY(),INDEX(tblMeetings[تاريخ الاستحقاق],71)&lt;=TODAY()+14,INDEX(tblMeetings[الحالة],71)&lt;&gt;"مغلق"),INDEX(tblMeetings[الإجراءات المطلوبة],71),""),"")</f>
        <v/>
      </c>
      <c r="V73" s="50" t="str">
        <f aca="false">IF(Q73="",V72,IF(V72="",Q73,V72&amp;"،  "&amp;Q73))</f>
        <v>مصفوفة الصلاحيات الشاملة</v>
      </c>
      <c r="W73" s="50" t="str">
        <f aca="false">IF(R73="",W72,IF(W72="",R73,W72&amp;"،  "&amp;R73))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3" s="50" t="str">
        <f aca="false">IF(S73="",X72,IF(X72="",S73,X72&amp;"،  "&amp;S73))</f>
        <v>مراجعة حالة المخرجات المتأخرة،  الموافقة على رفع لوائح اللجان للمجلس</v>
      </c>
      <c r="Y73" s="50" t="str">
        <f aca="false">IF(T73="",Y72,IF(Y72="",T73,Y72&amp;"،  "&amp;T73))</f>
        <v>تسريع اعتماد مصفوفة الصلاحيات الشاملة،  جدولة جلسة اعتماد لائحة مجلس الإدارة</v>
      </c>
    </row>
    <row r="74" customFormat="false" ht="15" hidden="false" customHeight="false" outlineLevel="0" collapsed="false">
      <c r="Q74" s="50" t="str">
        <f aca="false">IFERROR(IF(INDEX(tblDeliverables[مؤشر الالتزام الزمني],72)="متأخر",INDEX(tblDeliverables[المخرج],72),""),"")</f>
        <v/>
      </c>
      <c r="R74" s="50" t="str">
        <f aca="false">IFERROR(IF(AND(INDEX(tblDeliverables[الأولوية],72)="عالية",INDEX(tblDeliverables[الحالة الحالية],72)&lt;&gt;"معتمد ونافذ",INDEX(tblDeliverables[المخرج],72)&lt;&gt;""),INDEX(tblDeliverables[المخرج],72),""),"")</f>
        <v/>
      </c>
      <c r="S74" s="50" t="str">
        <f aca="false">IFERROR(IF(INDEX(tblMeetings[الحالة],72)="مفتوح",INDEX(tblMeetings[أهم القرارات],72),""),"")</f>
        <v/>
      </c>
      <c r="T74" s="50" t="str">
        <f aca="false">IFERROR(IF(AND(INDEX(tblMeetings[تاريخ الاستحقاق],72)&lt;&gt;"",INDEX(tblMeetings[تاريخ الاستحقاق],72)&gt;=TODAY(),INDEX(tblMeetings[تاريخ الاستحقاق],72)&lt;=TODAY()+14,INDEX(tblMeetings[الحالة],72)&lt;&gt;"مغلق"),INDEX(tblMeetings[الإجراءات المطلوبة],72),""),"")</f>
        <v/>
      </c>
      <c r="V74" s="50" t="str">
        <f aca="false">IF(Q74="",V73,IF(V73="",Q74,V73&amp;"،  "&amp;Q74))</f>
        <v>مصفوفة الصلاحيات الشاملة</v>
      </c>
      <c r="W74" s="50" t="str">
        <f aca="false">IF(R74="",W73,IF(W73="",R74,W73&amp;"،  "&amp;R74))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4" s="50" t="str">
        <f aca="false">IF(S74="",X73,IF(X73="",S74,X73&amp;"،  "&amp;S74))</f>
        <v>مراجعة حالة المخرجات المتأخرة،  الموافقة على رفع لوائح اللجان للمجلس</v>
      </c>
      <c r="Y74" s="50" t="str">
        <f aca="false">IF(T74="",Y73,IF(Y73="",T74,Y73&amp;"،  "&amp;T74))</f>
        <v>تسريع اعتماد مصفوفة الصلاحيات الشاملة،  جدولة جلسة اعتماد لائحة مجلس الإدارة</v>
      </c>
    </row>
    <row r="75" customFormat="false" ht="15" hidden="false" customHeight="false" outlineLevel="0" collapsed="false">
      <c r="Q75" s="50" t="str">
        <f aca="false">IFERROR(IF(INDEX(tblDeliverables[مؤشر الالتزام الزمني],73)="متأخر",INDEX(tblDeliverables[المخرج],73),""),"")</f>
        <v/>
      </c>
      <c r="R75" s="50" t="str">
        <f aca="false">IFERROR(IF(AND(INDEX(tblDeliverables[الأولوية],73)="عالية",INDEX(tblDeliverables[الحالة الحالية],73)&lt;&gt;"معتمد ونافذ",INDEX(tblDeliverables[المخرج],73)&lt;&gt;""),INDEX(tblDeliverables[المخرج],73),""),"")</f>
        <v/>
      </c>
      <c r="S75" s="50" t="str">
        <f aca="false">IFERROR(IF(INDEX(tblMeetings[الحالة],73)="مفتوح",INDEX(tblMeetings[أهم القرارات],73),""),"")</f>
        <v/>
      </c>
      <c r="T75" s="50" t="str">
        <f aca="false">IFERROR(IF(AND(INDEX(tblMeetings[تاريخ الاستحقاق],73)&lt;&gt;"",INDEX(tblMeetings[تاريخ الاستحقاق],73)&gt;=TODAY(),INDEX(tblMeetings[تاريخ الاستحقاق],73)&lt;=TODAY()+14,INDEX(tblMeetings[الحالة],73)&lt;&gt;"مغلق"),INDEX(tblMeetings[الإجراءات المطلوبة],73),""),"")</f>
        <v/>
      </c>
      <c r="V75" s="50" t="str">
        <f aca="false">IF(Q75="",V74,IF(V74="",Q75,V74&amp;"،  "&amp;Q75))</f>
        <v>مصفوفة الصلاحيات الشاملة</v>
      </c>
      <c r="W75" s="50" t="str">
        <f aca="false">IF(R75="",W74,IF(W74="",R75,W74&amp;"،  "&amp;R75))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5" s="50" t="str">
        <f aca="false">IF(S75="",X74,IF(X74="",S75,X74&amp;"،  "&amp;S75))</f>
        <v>مراجعة حالة المخرجات المتأخرة،  الموافقة على رفع لوائح اللجان للمجلس</v>
      </c>
      <c r="Y75" s="50" t="str">
        <f aca="false">IF(T75="",Y74,IF(Y74="",T75,Y74&amp;"،  "&amp;T75))</f>
        <v>تسريع اعتماد مصفوفة الصلاحيات الشاملة،  جدولة جلسة اعتماد لائحة مجلس الإدارة</v>
      </c>
    </row>
    <row r="76" customFormat="false" ht="15" hidden="false" customHeight="false" outlineLevel="0" collapsed="false">
      <c r="Q76" s="50" t="str">
        <f aca="false">IFERROR(IF(INDEX(tblDeliverables[مؤشر الالتزام الزمني],74)="متأخر",INDEX(tblDeliverables[المخرج],74),""),"")</f>
        <v/>
      </c>
      <c r="R76" s="50" t="str">
        <f aca="false">IFERROR(IF(AND(INDEX(tblDeliverables[الأولوية],74)="عالية",INDEX(tblDeliverables[الحالة الحالية],74)&lt;&gt;"معتمد ونافذ",INDEX(tblDeliverables[المخرج],74)&lt;&gt;""),INDEX(tblDeliverables[المخرج],74),""),"")</f>
        <v/>
      </c>
      <c r="S76" s="50" t="str">
        <f aca="false">IFERROR(IF(INDEX(tblMeetings[الحالة],74)="مفتوح",INDEX(tblMeetings[أهم القرارات],74),""),"")</f>
        <v/>
      </c>
      <c r="T76" s="50" t="str">
        <f aca="false">IFERROR(IF(AND(INDEX(tblMeetings[تاريخ الاستحقاق],74)&lt;&gt;"",INDEX(tblMeetings[تاريخ الاستحقاق],74)&gt;=TODAY(),INDEX(tblMeetings[تاريخ الاستحقاق],74)&lt;=TODAY()+14,INDEX(tblMeetings[الحالة],74)&lt;&gt;"مغلق"),INDEX(tblMeetings[الإجراءات المطلوبة],74),""),"")</f>
        <v/>
      </c>
      <c r="V76" s="50" t="str">
        <f aca="false">IF(Q76="",V75,IF(V75="",Q76,V75&amp;"،  "&amp;Q76))</f>
        <v>مصفوفة الصلاحيات الشاملة</v>
      </c>
      <c r="W76" s="50" t="str">
        <f aca="false">IF(R76="",W75,IF(W75="",R76,W75&amp;"،  "&amp;R76))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6" s="50" t="str">
        <f aca="false">IF(S76="",X75,IF(X75="",S76,X75&amp;"،  "&amp;S76))</f>
        <v>مراجعة حالة المخرجات المتأخرة،  الموافقة على رفع لوائح اللجان للمجلس</v>
      </c>
      <c r="Y76" s="50" t="str">
        <f aca="false">IF(T76="",Y75,IF(Y75="",T76,Y75&amp;"،  "&amp;T76))</f>
        <v>تسريع اعتماد مصفوفة الصلاحيات الشاملة،  جدولة جلسة اعتماد لائحة مجلس الإدارة</v>
      </c>
    </row>
    <row r="77" customFormat="false" ht="15" hidden="false" customHeight="false" outlineLevel="0" collapsed="false">
      <c r="Q77" s="50" t="str">
        <f aca="false">IFERROR(IF(INDEX(tblDeliverables[مؤشر الالتزام الزمني],75)="متأخر",INDEX(tblDeliverables[المخرج],75),""),"")</f>
        <v/>
      </c>
      <c r="R77" s="50" t="str">
        <f aca="false">IFERROR(IF(AND(INDEX(tblDeliverables[الأولوية],75)="عالية",INDEX(tblDeliverables[الحالة الحالية],75)&lt;&gt;"معتمد ونافذ",INDEX(tblDeliverables[المخرج],75)&lt;&gt;""),INDEX(tblDeliverables[المخرج],75),""),"")</f>
        <v/>
      </c>
      <c r="S77" s="50" t="str">
        <f aca="false">IFERROR(IF(INDEX(tblMeetings[الحالة],75)="مفتوح",INDEX(tblMeetings[أهم القرارات],75),""),"")</f>
        <v/>
      </c>
      <c r="T77" s="50" t="str">
        <f aca="false">IFERROR(IF(AND(INDEX(tblMeetings[تاريخ الاستحقاق],75)&lt;&gt;"",INDEX(tblMeetings[تاريخ الاستحقاق],75)&gt;=TODAY(),INDEX(tblMeetings[تاريخ الاستحقاق],75)&lt;=TODAY()+14,INDEX(tblMeetings[الحالة],75)&lt;&gt;"مغلق"),INDEX(tblMeetings[الإجراءات المطلوبة],75),""),"")</f>
        <v/>
      </c>
      <c r="V77" s="50" t="str">
        <f aca="false">IF(Q77="",V76,IF(V76="",Q77,V76&amp;"،  "&amp;Q77))</f>
        <v>مصفوفة الصلاحيات الشاملة</v>
      </c>
      <c r="W77" s="50" t="str">
        <f aca="false">IF(R77="",W76,IF(W76="",R77,W76&amp;"،  "&amp;R77))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7" s="50" t="str">
        <f aca="false">IF(S77="",X76,IF(X76="",S77,X76&amp;"،  "&amp;S77))</f>
        <v>مراجعة حالة المخرجات المتأخرة،  الموافقة على رفع لوائح اللجان للمجلس</v>
      </c>
      <c r="Y77" s="50" t="str">
        <f aca="false">IF(T77="",Y76,IF(Y76="",T77,Y76&amp;"،  "&amp;T77))</f>
        <v>تسريع اعتماد مصفوفة الصلاحيات الشاملة،  جدولة جلسة اعتماد لائحة مجلس الإدارة</v>
      </c>
    </row>
    <row r="78" customFormat="false" ht="15" hidden="false" customHeight="false" outlineLevel="0" collapsed="false">
      <c r="Q78" s="50" t="str">
        <f aca="false">IFERROR(IF(INDEX(tblDeliverables[مؤشر الالتزام الزمني],76)="متأخر",INDEX(tblDeliverables[المخرج],76),""),"")</f>
        <v/>
      </c>
      <c r="R78" s="50" t="str">
        <f aca="false">IFERROR(IF(AND(INDEX(tblDeliverables[الأولوية],76)="عالية",INDEX(tblDeliverables[الحالة الحالية],76)&lt;&gt;"معتمد ونافذ",INDEX(tblDeliverables[المخرج],76)&lt;&gt;""),INDEX(tblDeliverables[المخرج],76),""),"")</f>
        <v/>
      </c>
      <c r="S78" s="50" t="str">
        <f aca="false">IFERROR(IF(INDEX(tblMeetings[الحالة],76)="مفتوح",INDEX(tblMeetings[أهم القرارات],76),""),"")</f>
        <v/>
      </c>
      <c r="T78" s="50" t="str">
        <f aca="false">IFERROR(IF(AND(INDEX(tblMeetings[تاريخ الاستحقاق],76)&lt;&gt;"",INDEX(tblMeetings[تاريخ الاستحقاق],76)&gt;=TODAY(),INDEX(tblMeetings[تاريخ الاستحقاق],76)&lt;=TODAY()+14,INDEX(tblMeetings[الحالة],76)&lt;&gt;"مغلق"),INDEX(tblMeetings[الإجراءات المطلوبة],76),""),"")</f>
        <v/>
      </c>
      <c r="V78" s="50" t="str">
        <f aca="false">IF(Q78="",V77,IF(V77="",Q78,V77&amp;"،  "&amp;Q78))</f>
        <v>مصفوفة الصلاحيات الشاملة</v>
      </c>
      <c r="W78" s="50" t="str">
        <f aca="false">IF(R78="",W77,IF(W77="",R78,W77&amp;"،  "&amp;R78))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8" s="50" t="str">
        <f aca="false">IF(S78="",X77,IF(X77="",S78,X77&amp;"،  "&amp;S78))</f>
        <v>مراجعة حالة المخرجات المتأخرة،  الموافقة على رفع لوائح اللجان للمجلس</v>
      </c>
      <c r="Y78" s="50" t="str">
        <f aca="false">IF(T78="",Y77,IF(Y77="",T78,Y77&amp;"،  "&amp;T78))</f>
        <v>تسريع اعتماد مصفوفة الصلاحيات الشاملة،  جدولة جلسة اعتماد لائحة مجلس الإدارة</v>
      </c>
    </row>
    <row r="79" customFormat="false" ht="15" hidden="false" customHeight="false" outlineLevel="0" collapsed="false">
      <c r="Q79" s="50" t="str">
        <f aca="false">IFERROR(IF(INDEX(tblDeliverables[مؤشر الالتزام الزمني],77)="متأخر",INDEX(tblDeliverables[المخرج],77),""),"")</f>
        <v/>
      </c>
      <c r="R79" s="50" t="str">
        <f aca="false">IFERROR(IF(AND(INDEX(tblDeliverables[الأولوية],77)="عالية",INDEX(tblDeliverables[الحالة الحالية],77)&lt;&gt;"معتمد ونافذ",INDEX(tblDeliverables[المخرج],77)&lt;&gt;""),INDEX(tblDeliverables[المخرج],77),""),"")</f>
        <v/>
      </c>
      <c r="S79" s="50" t="str">
        <f aca="false">IFERROR(IF(INDEX(tblMeetings[الحالة],77)="مفتوح",INDEX(tblMeetings[أهم القرارات],77),""),"")</f>
        <v/>
      </c>
      <c r="T79" s="50" t="str">
        <f aca="false">IFERROR(IF(AND(INDEX(tblMeetings[تاريخ الاستحقاق],77)&lt;&gt;"",INDEX(tblMeetings[تاريخ الاستحقاق],77)&gt;=TODAY(),INDEX(tblMeetings[تاريخ الاستحقاق],77)&lt;=TODAY()+14,INDEX(tblMeetings[الحالة],77)&lt;&gt;"مغلق"),INDEX(tblMeetings[الإجراءات المطلوبة],77),""),"")</f>
        <v/>
      </c>
      <c r="V79" s="50" t="str">
        <f aca="false">IF(Q79="",V78,IF(V78="",Q79,V78&amp;"،  "&amp;Q79))</f>
        <v>مصفوفة الصلاحيات الشاملة</v>
      </c>
      <c r="W79" s="50" t="str">
        <f aca="false">IF(R79="",W78,IF(W78="",R79,W78&amp;"،  "&amp;R79))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79" s="50" t="str">
        <f aca="false">IF(S79="",X78,IF(X78="",S79,X78&amp;"،  "&amp;S79))</f>
        <v>مراجعة حالة المخرجات المتأخرة،  الموافقة على رفع لوائح اللجان للمجلس</v>
      </c>
      <c r="Y79" s="50" t="str">
        <f aca="false">IF(T79="",Y78,IF(Y78="",T79,Y78&amp;"،  "&amp;T79))</f>
        <v>تسريع اعتماد مصفوفة الصلاحيات الشاملة،  جدولة جلسة اعتماد لائحة مجلس الإدارة</v>
      </c>
    </row>
    <row r="80" customFormat="false" ht="15" hidden="false" customHeight="false" outlineLevel="0" collapsed="false">
      <c r="Q80" s="50" t="str">
        <f aca="false">IFERROR(IF(INDEX(tblDeliverables[مؤشر الالتزام الزمني],78)="متأخر",INDEX(tblDeliverables[المخرج],78),""),"")</f>
        <v/>
      </c>
      <c r="R80" s="50" t="str">
        <f aca="false">IFERROR(IF(AND(INDEX(tblDeliverables[الأولوية],78)="عالية",INDEX(tblDeliverables[الحالة الحالية],78)&lt;&gt;"معتمد ونافذ",INDEX(tblDeliverables[المخرج],78)&lt;&gt;""),INDEX(tblDeliverables[المخرج],78),""),"")</f>
        <v/>
      </c>
      <c r="S80" s="50" t="str">
        <f aca="false">IFERROR(IF(INDEX(tblMeetings[الحالة],78)="مفتوح",INDEX(tblMeetings[أهم القرارات],78),""),"")</f>
        <v/>
      </c>
      <c r="T80" s="50" t="str">
        <f aca="false">IFERROR(IF(AND(INDEX(tblMeetings[تاريخ الاستحقاق],78)&lt;&gt;"",INDEX(tblMeetings[تاريخ الاستحقاق],78)&gt;=TODAY(),INDEX(tblMeetings[تاريخ الاستحقاق],78)&lt;=TODAY()+14,INDEX(tblMeetings[الحالة],78)&lt;&gt;"مغلق"),INDEX(tblMeetings[الإجراءات المطلوبة],78),""),"")</f>
        <v/>
      </c>
      <c r="V80" s="50" t="str">
        <f aca="false">IF(Q80="",V79,IF(V79="",Q80,V79&amp;"،  "&amp;Q80))</f>
        <v>مصفوفة الصلاحيات الشاملة</v>
      </c>
      <c r="W80" s="50" t="str">
        <f aca="false">IF(R80="",W79,IF(W79="",R80,W79&amp;"،  "&amp;R80))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0" s="50" t="str">
        <f aca="false">IF(S80="",X79,IF(X79="",S80,X79&amp;"،  "&amp;S80))</f>
        <v>مراجعة حالة المخرجات المتأخرة،  الموافقة على رفع لوائح اللجان للمجلس</v>
      </c>
      <c r="Y80" s="50" t="str">
        <f aca="false">IF(T80="",Y79,IF(Y79="",T80,Y79&amp;"،  "&amp;T80))</f>
        <v>تسريع اعتماد مصفوفة الصلاحيات الشاملة،  جدولة جلسة اعتماد لائحة مجلس الإدارة</v>
      </c>
    </row>
    <row r="81" customFormat="false" ht="15" hidden="false" customHeight="false" outlineLevel="0" collapsed="false">
      <c r="Q81" s="50" t="str">
        <f aca="false">IFERROR(IF(INDEX(tblDeliverables[مؤشر الالتزام الزمني],79)="متأخر",INDEX(tblDeliverables[المخرج],79),""),"")</f>
        <v/>
      </c>
      <c r="R81" s="50" t="str">
        <f aca="false">IFERROR(IF(AND(INDEX(tblDeliverables[الأولوية],79)="عالية",INDEX(tblDeliverables[الحالة الحالية],79)&lt;&gt;"معتمد ونافذ",INDEX(tblDeliverables[المخرج],79)&lt;&gt;""),INDEX(tblDeliverables[المخرج],79),""),"")</f>
        <v/>
      </c>
      <c r="S81" s="50" t="str">
        <f aca="false">IFERROR(IF(INDEX(tblMeetings[الحالة],79)="مفتوح",INDEX(tblMeetings[أهم القرارات],79),""),"")</f>
        <v/>
      </c>
      <c r="T81" s="50" t="str">
        <f aca="false">IFERROR(IF(AND(INDEX(tblMeetings[تاريخ الاستحقاق],79)&lt;&gt;"",INDEX(tblMeetings[تاريخ الاستحقاق],79)&gt;=TODAY(),INDEX(tblMeetings[تاريخ الاستحقاق],79)&lt;=TODAY()+14,INDEX(tblMeetings[الحالة],79)&lt;&gt;"مغلق"),INDEX(tblMeetings[الإجراءات المطلوبة],79),""),"")</f>
        <v/>
      </c>
      <c r="V81" s="50" t="str">
        <f aca="false">IF(Q81="",V80,IF(V80="",Q81,V80&amp;"،  "&amp;Q81))</f>
        <v>مصفوفة الصلاحيات الشاملة</v>
      </c>
      <c r="W81" s="50" t="str">
        <f aca="false">IF(R81="",W80,IF(W80="",R81,W80&amp;"،  "&amp;R81))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1" s="50" t="str">
        <f aca="false">IF(S81="",X80,IF(X80="",S81,X80&amp;"،  "&amp;S81))</f>
        <v>مراجعة حالة المخرجات المتأخرة،  الموافقة على رفع لوائح اللجان للمجلس</v>
      </c>
      <c r="Y81" s="50" t="str">
        <f aca="false">IF(T81="",Y80,IF(Y80="",T81,Y80&amp;"،  "&amp;T81))</f>
        <v>تسريع اعتماد مصفوفة الصلاحيات الشاملة،  جدولة جلسة اعتماد لائحة مجلس الإدارة</v>
      </c>
    </row>
    <row r="82" customFormat="false" ht="15" hidden="false" customHeight="false" outlineLevel="0" collapsed="false">
      <c r="Q82" s="50" t="str">
        <f aca="false">IFERROR(IF(INDEX(tblDeliverables[مؤشر الالتزام الزمني],80)="متأخر",INDEX(tblDeliverables[المخرج],80),""),"")</f>
        <v/>
      </c>
      <c r="R82" s="50" t="str">
        <f aca="false">IFERROR(IF(AND(INDEX(tblDeliverables[الأولوية],80)="عالية",INDEX(tblDeliverables[الحالة الحالية],80)&lt;&gt;"معتمد ونافذ",INDEX(tblDeliverables[المخرج],80)&lt;&gt;""),INDEX(tblDeliverables[المخرج],80),""),"")</f>
        <v/>
      </c>
      <c r="S82" s="50" t="str">
        <f aca="false">IFERROR(IF(INDEX(tblMeetings[الحالة],80)="مفتوح",INDEX(tblMeetings[أهم القرارات],80),""),"")</f>
        <v/>
      </c>
      <c r="T82" s="50" t="str">
        <f aca="false">IFERROR(IF(AND(INDEX(tblMeetings[تاريخ الاستحقاق],80)&lt;&gt;"",INDEX(tblMeetings[تاريخ الاستحقاق],80)&gt;=TODAY(),INDEX(tblMeetings[تاريخ الاستحقاق],80)&lt;=TODAY()+14,INDEX(tblMeetings[الحالة],80)&lt;&gt;"مغلق"),INDEX(tblMeetings[الإجراءات المطلوبة],80),""),"")</f>
        <v/>
      </c>
      <c r="V82" s="50" t="str">
        <f aca="false">IF(Q82="",V81,IF(V81="",Q82,V81&amp;"،  "&amp;Q82))</f>
        <v>مصفوفة الصلاحيات الشاملة</v>
      </c>
      <c r="W82" s="50" t="str">
        <f aca="false">IF(R82="",W81,IF(W81="",R82,W81&amp;"،  "&amp;R82))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2" s="50" t="str">
        <f aca="false">IF(S82="",X81,IF(X81="",S82,X81&amp;"،  "&amp;S82))</f>
        <v>مراجعة حالة المخرجات المتأخرة،  الموافقة على رفع لوائح اللجان للمجلس</v>
      </c>
      <c r="Y82" s="50" t="str">
        <f aca="false">IF(T82="",Y81,IF(Y81="",T82,Y81&amp;"،  "&amp;T82))</f>
        <v>تسريع اعتماد مصفوفة الصلاحيات الشاملة،  جدولة جلسة اعتماد لائحة مجلس الإدارة</v>
      </c>
    </row>
    <row r="83" customFormat="false" ht="15" hidden="false" customHeight="false" outlineLevel="0" collapsed="false">
      <c r="Q83" s="50" t="str">
        <f aca="false">IFERROR(IF(INDEX(tblDeliverables[مؤشر الالتزام الزمني],81)="متأخر",INDEX(tblDeliverables[المخرج],81),""),"")</f>
        <v/>
      </c>
      <c r="R83" s="50" t="str">
        <f aca="false">IFERROR(IF(AND(INDEX(tblDeliverables[الأولوية],81)="عالية",INDEX(tblDeliverables[الحالة الحالية],81)&lt;&gt;"معتمد ونافذ",INDEX(tblDeliverables[المخرج],81)&lt;&gt;""),INDEX(tblDeliverables[المخرج],81),""),"")</f>
        <v/>
      </c>
      <c r="S83" s="50" t="str">
        <f aca="false">IFERROR(IF(INDEX(tblMeetings[الحالة],81)="مفتوح",INDEX(tblMeetings[أهم القرارات],81),""),"")</f>
        <v/>
      </c>
      <c r="T83" s="50" t="str">
        <f aca="false">IFERROR(IF(AND(INDEX(tblMeetings[تاريخ الاستحقاق],81)&lt;&gt;"",INDEX(tblMeetings[تاريخ الاستحقاق],81)&gt;=TODAY(),INDEX(tblMeetings[تاريخ الاستحقاق],81)&lt;=TODAY()+14,INDEX(tblMeetings[الحالة],81)&lt;&gt;"مغلق"),INDEX(tblMeetings[الإجراءات المطلوبة],81),""),"")</f>
        <v/>
      </c>
      <c r="V83" s="50" t="str">
        <f aca="false">IF(Q83="",V82,IF(V82="",Q83,V82&amp;"،  "&amp;Q83))</f>
        <v>مصفوفة الصلاحيات الشاملة</v>
      </c>
      <c r="W83" s="50" t="str">
        <f aca="false">IF(R83="",W82,IF(W82="",R83,W82&amp;"،  "&amp;R83))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3" s="50" t="str">
        <f aca="false">IF(S83="",X82,IF(X82="",S83,X82&amp;"،  "&amp;S83))</f>
        <v>مراجعة حالة المخرجات المتأخرة،  الموافقة على رفع لوائح اللجان للمجلس</v>
      </c>
      <c r="Y83" s="50" t="str">
        <f aca="false">IF(T83="",Y82,IF(Y82="",T83,Y82&amp;"،  "&amp;T83))</f>
        <v>تسريع اعتماد مصفوفة الصلاحيات الشاملة،  جدولة جلسة اعتماد لائحة مجلس الإدارة</v>
      </c>
    </row>
    <row r="84" customFormat="false" ht="15" hidden="false" customHeight="false" outlineLevel="0" collapsed="false">
      <c r="Q84" s="50" t="str">
        <f aca="false">IFERROR(IF(INDEX(tblDeliverables[مؤشر الالتزام الزمني],82)="متأخر",INDEX(tblDeliverables[المخرج],82),""),"")</f>
        <v/>
      </c>
      <c r="R84" s="50" t="str">
        <f aca="false">IFERROR(IF(AND(INDEX(tblDeliverables[الأولوية],82)="عالية",INDEX(tblDeliverables[الحالة الحالية],82)&lt;&gt;"معتمد ونافذ",INDEX(tblDeliverables[المخرج],82)&lt;&gt;""),INDEX(tblDeliverables[المخرج],82),""),"")</f>
        <v/>
      </c>
      <c r="S84" s="50" t="str">
        <f aca="false">IFERROR(IF(INDEX(tblMeetings[الحالة],82)="مفتوح",INDEX(tblMeetings[أهم القرارات],82),""),"")</f>
        <v/>
      </c>
      <c r="T84" s="50" t="str">
        <f aca="false">IFERROR(IF(AND(INDEX(tblMeetings[تاريخ الاستحقاق],82)&lt;&gt;"",INDEX(tblMeetings[تاريخ الاستحقاق],82)&gt;=TODAY(),INDEX(tblMeetings[تاريخ الاستحقاق],82)&lt;=TODAY()+14,INDEX(tblMeetings[الحالة],82)&lt;&gt;"مغلق"),INDEX(tblMeetings[الإجراءات المطلوبة],82),""),"")</f>
        <v/>
      </c>
      <c r="V84" s="50" t="str">
        <f aca="false">IF(Q84="",V83,IF(V83="",Q84,V83&amp;"،  "&amp;Q84))</f>
        <v>مصفوفة الصلاحيات الشاملة</v>
      </c>
      <c r="W84" s="50" t="str">
        <f aca="false">IF(R84="",W83,IF(W83="",R84,W83&amp;"،  "&amp;R84))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4" s="50" t="str">
        <f aca="false">IF(S84="",X83,IF(X83="",S84,X83&amp;"،  "&amp;S84))</f>
        <v>مراجعة حالة المخرجات المتأخرة،  الموافقة على رفع لوائح اللجان للمجلس</v>
      </c>
      <c r="Y84" s="50" t="str">
        <f aca="false">IF(T84="",Y83,IF(Y83="",T84,Y83&amp;"،  "&amp;T84))</f>
        <v>تسريع اعتماد مصفوفة الصلاحيات الشاملة،  جدولة جلسة اعتماد لائحة مجلس الإدارة</v>
      </c>
    </row>
    <row r="85" customFormat="false" ht="15" hidden="false" customHeight="false" outlineLevel="0" collapsed="false">
      <c r="Q85" s="50" t="str">
        <f aca="false">IFERROR(IF(INDEX(tblDeliverables[مؤشر الالتزام الزمني],83)="متأخر",INDEX(tblDeliverables[المخرج],83),""),"")</f>
        <v/>
      </c>
      <c r="R85" s="50" t="str">
        <f aca="false">IFERROR(IF(AND(INDEX(tblDeliverables[الأولوية],83)="عالية",INDEX(tblDeliverables[الحالة الحالية],83)&lt;&gt;"معتمد ونافذ",INDEX(tblDeliverables[المخرج],83)&lt;&gt;""),INDEX(tblDeliverables[المخرج],83),""),"")</f>
        <v/>
      </c>
      <c r="S85" s="50" t="str">
        <f aca="false">IFERROR(IF(INDEX(tblMeetings[الحالة],83)="مفتوح",INDEX(tblMeetings[أهم القرارات],83),""),"")</f>
        <v/>
      </c>
      <c r="T85" s="50" t="str">
        <f aca="false">IFERROR(IF(AND(INDEX(tblMeetings[تاريخ الاستحقاق],83)&lt;&gt;"",INDEX(tblMeetings[تاريخ الاستحقاق],83)&gt;=TODAY(),INDEX(tblMeetings[تاريخ الاستحقاق],83)&lt;=TODAY()+14,INDEX(tblMeetings[الحالة],83)&lt;&gt;"مغلق"),INDEX(tblMeetings[الإجراءات المطلوبة],83),""),"")</f>
        <v/>
      </c>
      <c r="V85" s="50" t="str">
        <f aca="false">IF(Q85="",V84,IF(V84="",Q85,V84&amp;"،  "&amp;Q85))</f>
        <v>مصفوفة الصلاحيات الشاملة</v>
      </c>
      <c r="W85" s="50" t="str">
        <f aca="false">IF(R85="",W84,IF(W84="",R85,W84&amp;"،  "&amp;R85))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5" s="50" t="str">
        <f aca="false">IF(S85="",X84,IF(X84="",S85,X84&amp;"،  "&amp;S85))</f>
        <v>مراجعة حالة المخرجات المتأخرة،  الموافقة على رفع لوائح اللجان للمجلس</v>
      </c>
      <c r="Y85" s="50" t="str">
        <f aca="false">IF(T85="",Y84,IF(Y84="",T85,Y84&amp;"،  "&amp;T85))</f>
        <v>تسريع اعتماد مصفوفة الصلاحيات الشاملة،  جدولة جلسة اعتماد لائحة مجلس الإدارة</v>
      </c>
    </row>
    <row r="86" customFormat="false" ht="15" hidden="false" customHeight="false" outlineLevel="0" collapsed="false">
      <c r="Q86" s="50" t="str">
        <f aca="false">IFERROR(IF(INDEX(tblDeliverables[مؤشر الالتزام الزمني],84)="متأخر",INDEX(tblDeliverables[المخرج],84),""),"")</f>
        <v/>
      </c>
      <c r="R86" s="50" t="str">
        <f aca="false">IFERROR(IF(AND(INDEX(tblDeliverables[الأولوية],84)="عالية",INDEX(tblDeliverables[الحالة الحالية],84)&lt;&gt;"معتمد ونافذ",INDEX(tblDeliverables[المخرج],84)&lt;&gt;""),INDEX(tblDeliverables[المخرج],84),""),"")</f>
        <v/>
      </c>
      <c r="S86" s="50" t="str">
        <f aca="false">IFERROR(IF(INDEX(tblMeetings[الحالة],84)="مفتوح",INDEX(tblMeetings[أهم القرارات],84),""),"")</f>
        <v/>
      </c>
      <c r="T86" s="50" t="str">
        <f aca="false">IFERROR(IF(AND(INDEX(tblMeetings[تاريخ الاستحقاق],84)&lt;&gt;"",INDEX(tblMeetings[تاريخ الاستحقاق],84)&gt;=TODAY(),INDEX(tblMeetings[تاريخ الاستحقاق],84)&lt;=TODAY()+14,INDEX(tblMeetings[الحالة],84)&lt;&gt;"مغلق"),INDEX(tblMeetings[الإجراءات المطلوبة],84),""),"")</f>
        <v/>
      </c>
      <c r="V86" s="50" t="str">
        <f aca="false">IF(Q86="",V85,IF(V85="",Q86,V85&amp;"،  "&amp;Q86))</f>
        <v>مصفوفة الصلاحيات الشاملة</v>
      </c>
      <c r="W86" s="50" t="str">
        <f aca="false">IF(R86="",W85,IF(W85="",R86,W85&amp;"،  "&amp;R86))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6" s="50" t="str">
        <f aca="false">IF(S86="",X85,IF(X85="",S86,X85&amp;"،  "&amp;S86))</f>
        <v>مراجعة حالة المخرجات المتأخرة،  الموافقة على رفع لوائح اللجان للمجلس</v>
      </c>
      <c r="Y86" s="50" t="str">
        <f aca="false">IF(T86="",Y85,IF(Y85="",T86,Y85&amp;"،  "&amp;T86))</f>
        <v>تسريع اعتماد مصفوفة الصلاحيات الشاملة،  جدولة جلسة اعتماد لائحة مجلس الإدارة</v>
      </c>
    </row>
    <row r="87" customFormat="false" ht="15" hidden="false" customHeight="false" outlineLevel="0" collapsed="false">
      <c r="Q87" s="50" t="str">
        <f aca="false">IFERROR(IF(INDEX(tblDeliverables[مؤشر الالتزام الزمني],85)="متأخر",INDEX(tblDeliverables[المخرج],85),""),"")</f>
        <v/>
      </c>
      <c r="R87" s="50" t="str">
        <f aca="false">IFERROR(IF(AND(INDEX(tblDeliverables[الأولوية],85)="عالية",INDEX(tblDeliverables[الحالة الحالية],85)&lt;&gt;"معتمد ونافذ",INDEX(tblDeliverables[المخرج],85)&lt;&gt;""),INDEX(tblDeliverables[المخرج],85),""),"")</f>
        <v/>
      </c>
      <c r="S87" s="50" t="str">
        <f aca="false">IFERROR(IF(INDEX(tblMeetings[الحالة],85)="مفتوح",INDEX(tblMeetings[أهم القرارات],85),""),"")</f>
        <v/>
      </c>
      <c r="T87" s="50" t="str">
        <f aca="false">IFERROR(IF(AND(INDEX(tblMeetings[تاريخ الاستحقاق],85)&lt;&gt;"",INDEX(tblMeetings[تاريخ الاستحقاق],85)&gt;=TODAY(),INDEX(tblMeetings[تاريخ الاستحقاق],85)&lt;=TODAY()+14,INDEX(tblMeetings[الحالة],85)&lt;&gt;"مغلق"),INDEX(tblMeetings[الإجراءات المطلوبة],85),""),"")</f>
        <v/>
      </c>
      <c r="V87" s="50" t="str">
        <f aca="false">IF(Q87="",V86,IF(V86="",Q87,V86&amp;"،  "&amp;Q87))</f>
        <v>مصفوفة الصلاحيات الشاملة</v>
      </c>
      <c r="W87" s="50" t="str">
        <f aca="false">IF(R87="",W86,IF(W86="",R87,W86&amp;"،  "&amp;R87))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7" s="50" t="str">
        <f aca="false">IF(S87="",X86,IF(X86="",S87,X86&amp;"،  "&amp;S87))</f>
        <v>مراجعة حالة المخرجات المتأخرة،  الموافقة على رفع لوائح اللجان للمجلس</v>
      </c>
      <c r="Y87" s="50" t="str">
        <f aca="false">IF(T87="",Y86,IF(Y86="",T87,Y86&amp;"،  "&amp;T87))</f>
        <v>تسريع اعتماد مصفوفة الصلاحيات الشاملة،  جدولة جلسة اعتماد لائحة مجلس الإدارة</v>
      </c>
    </row>
    <row r="88" customFormat="false" ht="15" hidden="false" customHeight="false" outlineLevel="0" collapsed="false">
      <c r="Q88" s="50" t="str">
        <f aca="false">IFERROR(IF(INDEX(tblDeliverables[مؤشر الالتزام الزمني],86)="متأخر",INDEX(tblDeliverables[المخرج],86),""),"")</f>
        <v/>
      </c>
      <c r="R88" s="50" t="str">
        <f aca="false">IFERROR(IF(AND(INDEX(tblDeliverables[الأولوية],86)="عالية",INDEX(tblDeliverables[الحالة الحالية],86)&lt;&gt;"معتمد ونافذ",INDEX(tblDeliverables[المخرج],86)&lt;&gt;""),INDEX(tblDeliverables[المخرج],86),""),"")</f>
        <v/>
      </c>
      <c r="S88" s="50" t="str">
        <f aca="false">IFERROR(IF(INDEX(tblMeetings[الحالة],86)="مفتوح",INDEX(tblMeetings[أهم القرارات],86),""),"")</f>
        <v/>
      </c>
      <c r="T88" s="50" t="str">
        <f aca="false">IFERROR(IF(AND(INDEX(tblMeetings[تاريخ الاستحقاق],86)&lt;&gt;"",INDEX(tblMeetings[تاريخ الاستحقاق],86)&gt;=TODAY(),INDEX(tblMeetings[تاريخ الاستحقاق],86)&lt;=TODAY()+14,INDEX(tblMeetings[الحالة],86)&lt;&gt;"مغلق"),INDEX(tblMeetings[الإجراءات المطلوبة],86),""),"")</f>
        <v/>
      </c>
      <c r="V88" s="50" t="str">
        <f aca="false">IF(Q88="",V87,IF(V87="",Q88,V87&amp;"،  "&amp;Q88))</f>
        <v>مصفوفة الصلاحيات الشاملة</v>
      </c>
      <c r="W88" s="50" t="str">
        <f aca="false">IF(R88="",W87,IF(W87="",R88,W87&amp;"،  "&amp;R88))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8" s="50" t="str">
        <f aca="false">IF(S88="",X87,IF(X87="",S88,X87&amp;"،  "&amp;S88))</f>
        <v>مراجعة حالة المخرجات المتأخرة،  الموافقة على رفع لوائح اللجان للمجلس</v>
      </c>
      <c r="Y88" s="50" t="str">
        <f aca="false">IF(T88="",Y87,IF(Y87="",T88,Y87&amp;"،  "&amp;T88))</f>
        <v>تسريع اعتماد مصفوفة الصلاحيات الشاملة،  جدولة جلسة اعتماد لائحة مجلس الإدارة</v>
      </c>
    </row>
    <row r="89" customFormat="false" ht="15" hidden="false" customHeight="false" outlineLevel="0" collapsed="false">
      <c r="Q89" s="50" t="str">
        <f aca="false">IFERROR(IF(INDEX(tblDeliverables[مؤشر الالتزام الزمني],87)="متأخر",INDEX(tblDeliverables[المخرج],87),""),"")</f>
        <v/>
      </c>
      <c r="R89" s="50" t="str">
        <f aca="false">IFERROR(IF(AND(INDEX(tblDeliverables[الأولوية],87)="عالية",INDEX(tblDeliverables[الحالة الحالية],87)&lt;&gt;"معتمد ونافذ",INDEX(tblDeliverables[المخرج],87)&lt;&gt;""),INDEX(tblDeliverables[المخرج],87),""),"")</f>
        <v/>
      </c>
      <c r="S89" s="50" t="str">
        <f aca="false">IFERROR(IF(INDEX(tblMeetings[الحالة],87)="مفتوح",INDEX(tblMeetings[أهم القرارات],87),""),"")</f>
        <v/>
      </c>
      <c r="T89" s="50" t="str">
        <f aca="false">IFERROR(IF(AND(INDEX(tblMeetings[تاريخ الاستحقاق],87)&lt;&gt;"",INDEX(tblMeetings[تاريخ الاستحقاق],87)&gt;=TODAY(),INDEX(tblMeetings[تاريخ الاستحقاق],87)&lt;=TODAY()+14,INDEX(tblMeetings[الحالة],87)&lt;&gt;"مغلق"),INDEX(tblMeetings[الإجراءات المطلوبة],87),""),"")</f>
        <v/>
      </c>
      <c r="V89" s="50" t="str">
        <f aca="false">IF(Q89="",V88,IF(V88="",Q89,V88&amp;"،  "&amp;Q89))</f>
        <v>مصفوفة الصلاحيات الشاملة</v>
      </c>
      <c r="W89" s="50" t="str">
        <f aca="false">IF(R89="",W88,IF(W88="",R89,W88&amp;"،  "&amp;R89))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89" s="50" t="str">
        <f aca="false">IF(S89="",X88,IF(X88="",S89,X88&amp;"،  "&amp;S89))</f>
        <v>مراجعة حالة المخرجات المتأخرة،  الموافقة على رفع لوائح اللجان للمجلس</v>
      </c>
      <c r="Y89" s="50" t="str">
        <f aca="false">IF(T89="",Y88,IF(Y88="",T89,Y88&amp;"،  "&amp;T89))</f>
        <v>تسريع اعتماد مصفوفة الصلاحيات الشاملة،  جدولة جلسة اعتماد لائحة مجلس الإدارة</v>
      </c>
    </row>
    <row r="90" customFormat="false" ht="15" hidden="false" customHeight="false" outlineLevel="0" collapsed="false">
      <c r="Q90" s="50" t="str">
        <f aca="false">IFERROR(IF(INDEX(tblDeliverables[مؤشر الالتزام الزمني],88)="متأخر",INDEX(tblDeliverables[المخرج],88),""),"")</f>
        <v/>
      </c>
      <c r="R90" s="50" t="str">
        <f aca="false">IFERROR(IF(AND(INDEX(tblDeliverables[الأولوية],88)="عالية",INDEX(tblDeliverables[الحالة الحالية],88)&lt;&gt;"معتمد ونافذ",INDEX(tblDeliverables[المخرج],88)&lt;&gt;""),INDEX(tblDeliverables[المخرج],88),""),"")</f>
        <v/>
      </c>
      <c r="S90" s="50" t="str">
        <f aca="false">IFERROR(IF(INDEX(tblMeetings[الحالة],88)="مفتوح",INDEX(tblMeetings[أهم القرارات],88),""),"")</f>
        <v/>
      </c>
      <c r="T90" s="50" t="str">
        <f aca="false">IFERROR(IF(AND(INDEX(tblMeetings[تاريخ الاستحقاق],88)&lt;&gt;"",INDEX(tblMeetings[تاريخ الاستحقاق],88)&gt;=TODAY(),INDEX(tblMeetings[تاريخ الاستحقاق],88)&lt;=TODAY()+14,INDEX(tblMeetings[الحالة],88)&lt;&gt;"مغلق"),INDEX(tblMeetings[الإجراءات المطلوبة],88),""),"")</f>
        <v/>
      </c>
      <c r="V90" s="50" t="str">
        <f aca="false">IF(Q90="",V89,IF(V89="",Q90,V89&amp;"،  "&amp;Q90))</f>
        <v>مصفوفة الصلاحيات الشاملة</v>
      </c>
      <c r="W90" s="50" t="str">
        <f aca="false">IF(R90="",W89,IF(W89="",R90,W89&amp;"،  "&amp;R90))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0" s="50" t="str">
        <f aca="false">IF(S90="",X89,IF(X89="",S90,X89&amp;"،  "&amp;S90))</f>
        <v>مراجعة حالة المخرجات المتأخرة،  الموافقة على رفع لوائح اللجان للمجلس</v>
      </c>
      <c r="Y90" s="50" t="str">
        <f aca="false">IF(T90="",Y89,IF(Y89="",T90,Y89&amp;"،  "&amp;T90))</f>
        <v>تسريع اعتماد مصفوفة الصلاحيات الشاملة،  جدولة جلسة اعتماد لائحة مجلس الإدارة</v>
      </c>
    </row>
    <row r="91" customFormat="false" ht="15" hidden="false" customHeight="false" outlineLevel="0" collapsed="false">
      <c r="Q91" s="50" t="str">
        <f aca="false">IFERROR(IF(INDEX(tblDeliverables[مؤشر الالتزام الزمني],89)="متأخر",INDEX(tblDeliverables[المخرج],89),""),"")</f>
        <v/>
      </c>
      <c r="R91" s="50" t="str">
        <f aca="false">IFERROR(IF(AND(INDEX(tblDeliverables[الأولوية],89)="عالية",INDEX(tblDeliverables[الحالة الحالية],89)&lt;&gt;"معتمد ونافذ",INDEX(tblDeliverables[المخرج],89)&lt;&gt;""),INDEX(tblDeliverables[المخرج],89),""),"")</f>
        <v/>
      </c>
      <c r="S91" s="50" t="str">
        <f aca="false">IFERROR(IF(INDEX(tblMeetings[الحالة],89)="مفتوح",INDEX(tblMeetings[أهم القرارات],89),""),"")</f>
        <v/>
      </c>
      <c r="T91" s="50" t="str">
        <f aca="false">IFERROR(IF(AND(INDEX(tblMeetings[تاريخ الاستحقاق],89)&lt;&gt;"",INDEX(tblMeetings[تاريخ الاستحقاق],89)&gt;=TODAY(),INDEX(tblMeetings[تاريخ الاستحقاق],89)&lt;=TODAY()+14,INDEX(tblMeetings[الحالة],89)&lt;&gt;"مغلق"),INDEX(tblMeetings[الإجراءات المطلوبة],89),""),"")</f>
        <v/>
      </c>
      <c r="V91" s="50" t="str">
        <f aca="false">IF(Q91="",V90,IF(V90="",Q91,V90&amp;"،  "&amp;Q91))</f>
        <v>مصفوفة الصلاحيات الشاملة</v>
      </c>
      <c r="W91" s="50" t="str">
        <f aca="false">IF(R91="",W90,IF(W90="",R91,W90&amp;"،  "&amp;R91))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1" s="50" t="str">
        <f aca="false">IF(S91="",X90,IF(X90="",S91,X90&amp;"،  "&amp;S91))</f>
        <v>مراجعة حالة المخرجات المتأخرة،  الموافقة على رفع لوائح اللجان للمجلس</v>
      </c>
      <c r="Y91" s="50" t="str">
        <f aca="false">IF(T91="",Y90,IF(Y90="",T91,Y90&amp;"،  "&amp;T91))</f>
        <v>تسريع اعتماد مصفوفة الصلاحيات الشاملة،  جدولة جلسة اعتماد لائحة مجلس الإدارة</v>
      </c>
    </row>
    <row r="92" customFormat="false" ht="15" hidden="false" customHeight="false" outlineLevel="0" collapsed="false">
      <c r="Q92" s="50" t="str">
        <f aca="false">IFERROR(IF(INDEX(tblDeliverables[مؤشر الالتزام الزمني],90)="متأخر",INDEX(tblDeliverables[المخرج],90),""),"")</f>
        <v/>
      </c>
      <c r="R92" s="50" t="str">
        <f aca="false">IFERROR(IF(AND(INDEX(tblDeliverables[الأولوية],90)="عالية",INDEX(tblDeliverables[الحالة الحالية],90)&lt;&gt;"معتمد ونافذ",INDEX(tblDeliverables[المخرج],90)&lt;&gt;""),INDEX(tblDeliverables[المخرج],90),""),"")</f>
        <v/>
      </c>
      <c r="S92" s="50" t="str">
        <f aca="false">IFERROR(IF(INDEX(tblMeetings[الحالة],90)="مفتوح",INDEX(tblMeetings[أهم القرارات],90),""),"")</f>
        <v/>
      </c>
      <c r="T92" s="50" t="str">
        <f aca="false">IFERROR(IF(AND(INDEX(tblMeetings[تاريخ الاستحقاق],90)&lt;&gt;"",INDEX(tblMeetings[تاريخ الاستحقاق],90)&gt;=TODAY(),INDEX(tblMeetings[تاريخ الاستحقاق],90)&lt;=TODAY()+14,INDEX(tblMeetings[الحالة],90)&lt;&gt;"مغلق"),INDEX(tblMeetings[الإجراءات المطلوبة],90),""),"")</f>
        <v/>
      </c>
      <c r="V92" s="50" t="str">
        <f aca="false">IF(Q92="",V91,IF(V91="",Q92,V91&amp;"،  "&amp;Q92))</f>
        <v>مصفوفة الصلاحيات الشاملة</v>
      </c>
      <c r="W92" s="50" t="str">
        <f aca="false">IF(R92="",W91,IF(W91="",R92,W91&amp;"،  "&amp;R92))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2" s="50" t="str">
        <f aca="false">IF(S92="",X91,IF(X91="",S92,X91&amp;"،  "&amp;S92))</f>
        <v>مراجعة حالة المخرجات المتأخرة،  الموافقة على رفع لوائح اللجان للمجلس</v>
      </c>
      <c r="Y92" s="50" t="str">
        <f aca="false">IF(T92="",Y91,IF(Y91="",T92,Y91&amp;"،  "&amp;T92))</f>
        <v>تسريع اعتماد مصفوفة الصلاحيات الشاملة،  جدولة جلسة اعتماد لائحة مجلس الإدارة</v>
      </c>
    </row>
    <row r="93" customFormat="false" ht="15" hidden="false" customHeight="false" outlineLevel="0" collapsed="false">
      <c r="Q93" s="50" t="str">
        <f aca="false">IFERROR(IF(INDEX(tblDeliverables[مؤشر الالتزام الزمني],91)="متأخر",INDEX(tblDeliverables[المخرج],91),""),"")</f>
        <v/>
      </c>
      <c r="R93" s="50" t="str">
        <f aca="false">IFERROR(IF(AND(INDEX(tblDeliverables[الأولوية],91)="عالية",INDEX(tblDeliverables[الحالة الحالية],91)&lt;&gt;"معتمد ونافذ",INDEX(tblDeliverables[المخرج],91)&lt;&gt;""),INDEX(tblDeliverables[المخرج],91),""),"")</f>
        <v/>
      </c>
      <c r="S93" s="50" t="str">
        <f aca="false">IFERROR(IF(INDEX(tblMeetings[الحالة],91)="مفتوح",INDEX(tblMeetings[أهم القرارات],91),""),"")</f>
        <v/>
      </c>
      <c r="T93" s="50" t="str">
        <f aca="false">IFERROR(IF(AND(INDEX(tblMeetings[تاريخ الاستحقاق],91)&lt;&gt;"",INDEX(tblMeetings[تاريخ الاستحقاق],91)&gt;=TODAY(),INDEX(tblMeetings[تاريخ الاستحقاق],91)&lt;=TODAY()+14,INDEX(tblMeetings[الحالة],91)&lt;&gt;"مغلق"),INDEX(tblMeetings[الإجراءات المطلوبة],91),""),"")</f>
        <v/>
      </c>
      <c r="V93" s="50" t="str">
        <f aca="false">IF(Q93="",V92,IF(V92="",Q93,V92&amp;"،  "&amp;Q93))</f>
        <v>مصفوفة الصلاحيات الشاملة</v>
      </c>
      <c r="W93" s="50" t="str">
        <f aca="false">IF(R93="",W92,IF(W92="",R93,W92&amp;"،  "&amp;R93))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3" s="50" t="str">
        <f aca="false">IF(S93="",X92,IF(X92="",S93,X92&amp;"،  "&amp;S93))</f>
        <v>مراجعة حالة المخرجات المتأخرة،  الموافقة على رفع لوائح اللجان للمجلس</v>
      </c>
      <c r="Y93" s="50" t="str">
        <f aca="false">IF(T93="",Y92,IF(Y92="",T93,Y92&amp;"،  "&amp;T93))</f>
        <v>تسريع اعتماد مصفوفة الصلاحيات الشاملة،  جدولة جلسة اعتماد لائحة مجلس الإدارة</v>
      </c>
    </row>
    <row r="94" customFormat="false" ht="15" hidden="false" customHeight="false" outlineLevel="0" collapsed="false">
      <c r="Q94" s="50" t="str">
        <f aca="false">IFERROR(IF(INDEX(tblDeliverables[مؤشر الالتزام الزمني],92)="متأخر",INDEX(tblDeliverables[المخرج],92),""),"")</f>
        <v/>
      </c>
      <c r="R94" s="50" t="str">
        <f aca="false">IFERROR(IF(AND(INDEX(tblDeliverables[الأولوية],92)="عالية",INDEX(tblDeliverables[الحالة الحالية],92)&lt;&gt;"معتمد ونافذ",INDEX(tblDeliverables[المخرج],92)&lt;&gt;""),INDEX(tblDeliverables[المخرج],92),""),"")</f>
        <v/>
      </c>
      <c r="S94" s="50" t="str">
        <f aca="false">IFERROR(IF(INDEX(tblMeetings[الحالة],92)="مفتوح",INDEX(tblMeetings[أهم القرارات],92),""),"")</f>
        <v/>
      </c>
      <c r="T94" s="50" t="str">
        <f aca="false">IFERROR(IF(AND(INDEX(tblMeetings[تاريخ الاستحقاق],92)&lt;&gt;"",INDEX(tblMeetings[تاريخ الاستحقاق],92)&gt;=TODAY(),INDEX(tblMeetings[تاريخ الاستحقاق],92)&lt;=TODAY()+14,INDEX(tblMeetings[الحالة],92)&lt;&gt;"مغلق"),INDEX(tblMeetings[الإجراءات المطلوبة],92),""),"")</f>
        <v/>
      </c>
      <c r="V94" s="50" t="str">
        <f aca="false">IF(Q94="",V93,IF(V93="",Q94,V93&amp;"،  "&amp;Q94))</f>
        <v>مصفوفة الصلاحيات الشاملة</v>
      </c>
      <c r="W94" s="50" t="str">
        <f aca="false">IF(R94="",W93,IF(W93="",R94,W93&amp;"،  "&amp;R94))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4" s="50" t="str">
        <f aca="false">IF(S94="",X93,IF(X93="",S94,X93&amp;"،  "&amp;S94))</f>
        <v>مراجعة حالة المخرجات المتأخرة،  الموافقة على رفع لوائح اللجان للمجلس</v>
      </c>
      <c r="Y94" s="50" t="str">
        <f aca="false">IF(T94="",Y93,IF(Y93="",T94,Y93&amp;"،  "&amp;T94))</f>
        <v>تسريع اعتماد مصفوفة الصلاحيات الشاملة،  جدولة جلسة اعتماد لائحة مجلس الإدارة</v>
      </c>
    </row>
    <row r="95" customFormat="false" ht="15" hidden="false" customHeight="false" outlineLevel="0" collapsed="false">
      <c r="Q95" s="50" t="str">
        <f aca="false">IFERROR(IF(INDEX(tblDeliverables[مؤشر الالتزام الزمني],93)="متأخر",INDEX(tblDeliverables[المخرج],93),""),"")</f>
        <v/>
      </c>
      <c r="R95" s="50" t="str">
        <f aca="false">IFERROR(IF(AND(INDEX(tblDeliverables[الأولوية],93)="عالية",INDEX(tblDeliverables[الحالة الحالية],93)&lt;&gt;"معتمد ونافذ",INDEX(tblDeliverables[المخرج],93)&lt;&gt;""),INDEX(tblDeliverables[المخرج],93),""),"")</f>
        <v/>
      </c>
      <c r="S95" s="50" t="str">
        <f aca="false">IFERROR(IF(INDEX(tblMeetings[الحالة],93)="مفتوح",INDEX(tblMeetings[أهم القرارات],93),""),"")</f>
        <v/>
      </c>
      <c r="T95" s="50" t="str">
        <f aca="false">IFERROR(IF(AND(INDEX(tblMeetings[تاريخ الاستحقاق],93)&lt;&gt;"",INDEX(tblMeetings[تاريخ الاستحقاق],93)&gt;=TODAY(),INDEX(tblMeetings[تاريخ الاستحقاق],93)&lt;=TODAY()+14,INDEX(tblMeetings[الحالة],93)&lt;&gt;"مغلق"),INDEX(tblMeetings[الإجراءات المطلوبة],93),""),"")</f>
        <v/>
      </c>
      <c r="V95" s="50" t="str">
        <f aca="false">IF(Q95="",V94,IF(V94="",Q95,V94&amp;"،  "&amp;Q95))</f>
        <v>مصفوفة الصلاحيات الشاملة</v>
      </c>
      <c r="W95" s="50" t="str">
        <f aca="false">IF(R95="",W94,IF(W94="",R95,W94&amp;"،  "&amp;R95))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5" s="50" t="str">
        <f aca="false">IF(S95="",X94,IF(X94="",S95,X94&amp;"،  "&amp;S95))</f>
        <v>مراجعة حالة المخرجات المتأخرة،  الموافقة على رفع لوائح اللجان للمجلس</v>
      </c>
      <c r="Y95" s="50" t="str">
        <f aca="false">IF(T95="",Y94,IF(Y94="",T95,Y94&amp;"،  "&amp;T95))</f>
        <v>تسريع اعتماد مصفوفة الصلاحيات الشاملة،  جدولة جلسة اعتماد لائحة مجلس الإدارة</v>
      </c>
    </row>
    <row r="96" customFormat="false" ht="15" hidden="false" customHeight="false" outlineLevel="0" collapsed="false">
      <c r="Q96" s="50" t="str">
        <f aca="false">IFERROR(IF(INDEX(tblDeliverables[مؤشر الالتزام الزمني],94)="متأخر",INDEX(tblDeliverables[المخرج],94),""),"")</f>
        <v/>
      </c>
      <c r="R96" s="50" t="str">
        <f aca="false">IFERROR(IF(AND(INDEX(tblDeliverables[الأولوية],94)="عالية",INDEX(tblDeliverables[الحالة الحالية],94)&lt;&gt;"معتمد ونافذ",INDEX(tblDeliverables[المخرج],94)&lt;&gt;""),INDEX(tblDeliverables[المخرج],94),""),"")</f>
        <v/>
      </c>
      <c r="S96" s="50" t="str">
        <f aca="false">IFERROR(IF(INDEX(tblMeetings[الحالة],94)="مفتوح",INDEX(tblMeetings[أهم القرارات],94),""),"")</f>
        <v/>
      </c>
      <c r="T96" s="50" t="str">
        <f aca="false">IFERROR(IF(AND(INDEX(tblMeetings[تاريخ الاستحقاق],94)&lt;&gt;"",INDEX(tblMeetings[تاريخ الاستحقاق],94)&gt;=TODAY(),INDEX(tblMeetings[تاريخ الاستحقاق],94)&lt;=TODAY()+14,INDEX(tblMeetings[الحالة],94)&lt;&gt;"مغلق"),INDEX(tblMeetings[الإجراءات المطلوبة],94),""),"")</f>
        <v/>
      </c>
      <c r="V96" s="50" t="str">
        <f aca="false">IF(Q96="",V95,IF(V95="",Q96,V95&amp;"،  "&amp;Q96))</f>
        <v>مصفوفة الصلاحيات الشاملة</v>
      </c>
      <c r="W96" s="50" t="str">
        <f aca="false">IF(R96="",W95,IF(W95="",R96,W95&amp;"،  "&amp;R96))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6" s="50" t="str">
        <f aca="false">IF(S96="",X95,IF(X95="",S96,X95&amp;"،  "&amp;S96))</f>
        <v>مراجعة حالة المخرجات المتأخرة،  الموافقة على رفع لوائح اللجان للمجلس</v>
      </c>
      <c r="Y96" s="50" t="str">
        <f aca="false">IF(T96="",Y95,IF(Y95="",T96,Y95&amp;"،  "&amp;T96))</f>
        <v>تسريع اعتماد مصفوفة الصلاحيات الشاملة،  جدولة جلسة اعتماد لائحة مجلس الإدارة</v>
      </c>
    </row>
    <row r="97" customFormat="false" ht="15" hidden="false" customHeight="false" outlineLevel="0" collapsed="false">
      <c r="Q97" s="50" t="str">
        <f aca="false">IFERROR(IF(INDEX(tblDeliverables[مؤشر الالتزام الزمني],95)="متأخر",INDEX(tblDeliverables[المخرج],95),""),"")</f>
        <v/>
      </c>
      <c r="R97" s="50" t="str">
        <f aca="false">IFERROR(IF(AND(INDEX(tblDeliverables[الأولوية],95)="عالية",INDEX(tblDeliverables[الحالة الحالية],95)&lt;&gt;"معتمد ونافذ",INDEX(tblDeliverables[المخرج],95)&lt;&gt;""),INDEX(tblDeliverables[المخرج],95),""),"")</f>
        <v/>
      </c>
      <c r="S97" s="50" t="str">
        <f aca="false">IFERROR(IF(INDEX(tblMeetings[الحالة],95)="مفتوح",INDEX(tblMeetings[أهم القرارات],95),""),"")</f>
        <v/>
      </c>
      <c r="T97" s="50" t="str">
        <f aca="false">IFERROR(IF(AND(INDEX(tblMeetings[تاريخ الاستحقاق],95)&lt;&gt;"",INDEX(tblMeetings[تاريخ الاستحقاق],95)&gt;=TODAY(),INDEX(tblMeetings[تاريخ الاستحقاق],95)&lt;=TODAY()+14,INDEX(tblMeetings[الحالة],95)&lt;&gt;"مغلق"),INDEX(tblMeetings[الإجراءات المطلوبة],95),""),"")</f>
        <v/>
      </c>
      <c r="V97" s="50" t="str">
        <f aca="false">IF(Q97="",V96,IF(V96="",Q97,V96&amp;"،  "&amp;Q97))</f>
        <v>مصفوفة الصلاحيات الشاملة</v>
      </c>
      <c r="W97" s="50" t="str">
        <f aca="false">IF(R97="",W96,IF(W96="",R97,W96&amp;"،  "&amp;R97))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7" s="50" t="str">
        <f aca="false">IF(S97="",X96,IF(X96="",S97,X96&amp;"،  "&amp;S97))</f>
        <v>مراجعة حالة المخرجات المتأخرة،  الموافقة على رفع لوائح اللجان للمجلس</v>
      </c>
      <c r="Y97" s="50" t="str">
        <f aca="false">IF(T97="",Y96,IF(Y96="",T97,Y96&amp;"،  "&amp;T97))</f>
        <v>تسريع اعتماد مصفوفة الصلاحيات الشاملة،  جدولة جلسة اعتماد لائحة مجلس الإدارة</v>
      </c>
    </row>
    <row r="98" customFormat="false" ht="15" hidden="false" customHeight="false" outlineLevel="0" collapsed="false">
      <c r="Q98" s="50" t="str">
        <f aca="false">IFERROR(IF(INDEX(tblDeliverables[مؤشر الالتزام الزمني],96)="متأخر",INDEX(tblDeliverables[المخرج],96),""),"")</f>
        <v/>
      </c>
      <c r="R98" s="50" t="str">
        <f aca="false">IFERROR(IF(AND(INDEX(tblDeliverables[الأولوية],96)="عالية",INDEX(tblDeliverables[الحالة الحالية],96)&lt;&gt;"معتمد ونافذ",INDEX(tblDeliverables[المخرج],96)&lt;&gt;""),INDEX(tblDeliverables[المخرج],96),""),"")</f>
        <v/>
      </c>
      <c r="S98" s="50" t="str">
        <f aca="false">IFERROR(IF(INDEX(tblMeetings[الحالة],96)="مفتوح",INDEX(tblMeetings[أهم القرارات],96),""),"")</f>
        <v/>
      </c>
      <c r="T98" s="50" t="str">
        <f aca="false">IFERROR(IF(AND(INDEX(tblMeetings[تاريخ الاستحقاق],96)&lt;&gt;"",INDEX(tblMeetings[تاريخ الاستحقاق],96)&gt;=TODAY(),INDEX(tblMeetings[تاريخ الاستحقاق],96)&lt;=TODAY()+14,INDEX(tblMeetings[الحالة],96)&lt;&gt;"مغلق"),INDEX(tblMeetings[الإجراءات المطلوبة],96),""),"")</f>
        <v/>
      </c>
      <c r="V98" s="50" t="str">
        <f aca="false">IF(Q98="",V97,IF(V97="",Q98,V97&amp;"،  "&amp;Q98))</f>
        <v>مصفوفة الصلاحيات الشاملة</v>
      </c>
      <c r="W98" s="50" t="str">
        <f aca="false">IF(R98="",W97,IF(W97="",R98,W97&amp;"،  "&amp;R98))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8" s="50" t="str">
        <f aca="false">IF(S98="",X97,IF(X97="",S98,X97&amp;"،  "&amp;S98))</f>
        <v>مراجعة حالة المخرجات المتأخرة،  الموافقة على رفع لوائح اللجان للمجلس</v>
      </c>
      <c r="Y98" s="50" t="str">
        <f aca="false">IF(T98="",Y97,IF(Y97="",T98,Y97&amp;"،  "&amp;T98))</f>
        <v>تسريع اعتماد مصفوفة الصلاحيات الشاملة،  جدولة جلسة اعتماد لائحة مجلس الإدارة</v>
      </c>
    </row>
    <row r="99" customFormat="false" ht="15" hidden="false" customHeight="false" outlineLevel="0" collapsed="false">
      <c r="Q99" s="50" t="str">
        <f aca="false">IFERROR(IF(INDEX(tblDeliverables[مؤشر الالتزام الزمني],97)="متأخر",INDEX(tblDeliverables[المخرج],97),""),"")</f>
        <v/>
      </c>
      <c r="R99" s="50" t="str">
        <f aca="false">IFERROR(IF(AND(INDEX(tblDeliverables[الأولوية],97)="عالية",INDEX(tblDeliverables[الحالة الحالية],97)&lt;&gt;"معتمد ونافذ",INDEX(tblDeliverables[المخرج],97)&lt;&gt;""),INDEX(tblDeliverables[المخرج],97),""),"")</f>
        <v/>
      </c>
      <c r="S99" s="50" t="str">
        <f aca="false">IFERROR(IF(INDEX(tblMeetings[الحالة],97)="مفتوح",INDEX(tblMeetings[أهم القرارات],97),""),"")</f>
        <v/>
      </c>
      <c r="T99" s="50" t="str">
        <f aca="false">IFERROR(IF(AND(INDEX(tblMeetings[تاريخ الاستحقاق],97)&lt;&gt;"",INDEX(tblMeetings[تاريخ الاستحقاق],97)&gt;=TODAY(),INDEX(tblMeetings[تاريخ الاستحقاق],97)&lt;=TODAY()+14,INDEX(tblMeetings[الحالة],97)&lt;&gt;"مغلق"),INDEX(tblMeetings[الإجراءات المطلوبة],97),""),"")</f>
        <v/>
      </c>
      <c r="V99" s="50" t="str">
        <f aca="false">IF(Q99="",V98,IF(V98="",Q99,V98&amp;"،  "&amp;Q99))</f>
        <v>مصفوفة الصلاحيات الشاملة</v>
      </c>
      <c r="W99" s="50" t="str">
        <f aca="false">IF(R99="",W98,IF(W98="",R99,W98&amp;"،  "&amp;R99))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99" s="50" t="str">
        <f aca="false">IF(S99="",X98,IF(X98="",S99,X98&amp;"،  "&amp;S99))</f>
        <v>مراجعة حالة المخرجات المتأخرة،  الموافقة على رفع لوائح اللجان للمجلس</v>
      </c>
      <c r="Y99" s="50" t="str">
        <f aca="false">IF(T99="",Y98,IF(Y98="",T99,Y98&amp;"،  "&amp;T99))</f>
        <v>تسريع اعتماد مصفوفة الصلاحيات الشاملة،  جدولة جلسة اعتماد لائحة مجلس الإدارة</v>
      </c>
    </row>
    <row r="100" customFormat="false" ht="15" hidden="false" customHeight="false" outlineLevel="0" collapsed="false">
      <c r="Q100" s="50" t="str">
        <f aca="false">IFERROR(IF(INDEX(tblDeliverables[مؤشر الالتزام الزمني],98)="متأخر",INDEX(tblDeliverables[المخرج],98),""),"")</f>
        <v/>
      </c>
      <c r="R100" s="50" t="str">
        <f aca="false">IFERROR(IF(AND(INDEX(tblDeliverables[الأولوية],98)="عالية",INDEX(tblDeliverables[الحالة الحالية],98)&lt;&gt;"معتمد ونافذ",INDEX(tblDeliverables[المخرج],98)&lt;&gt;""),INDEX(tblDeliverables[المخرج],98),""),"")</f>
        <v/>
      </c>
      <c r="S100" s="50" t="str">
        <f aca="false">IFERROR(IF(INDEX(tblMeetings[الحالة],98)="مفتوح",INDEX(tblMeetings[أهم القرارات],98),""),"")</f>
        <v/>
      </c>
      <c r="T100" s="50" t="str">
        <f aca="false">IFERROR(IF(AND(INDEX(tblMeetings[تاريخ الاستحقاق],98)&lt;&gt;"",INDEX(tblMeetings[تاريخ الاستحقاق],98)&gt;=TODAY(),INDEX(tblMeetings[تاريخ الاستحقاق],98)&lt;=TODAY()+14,INDEX(tblMeetings[الحالة],98)&lt;&gt;"مغلق"),INDEX(tblMeetings[الإجراءات المطلوبة],98),""),"")</f>
        <v/>
      </c>
      <c r="V100" s="50" t="str">
        <f aca="false">IF(Q100="",V99,IF(V99="",Q100,V99&amp;"،  "&amp;Q100))</f>
        <v>مصفوفة الصلاحيات الشاملة</v>
      </c>
      <c r="W100" s="50" t="str">
        <f aca="false">IF(R100="",W99,IF(W99="",R100,W99&amp;"،  "&amp;R100))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0" s="50" t="str">
        <f aca="false">IF(S100="",X99,IF(X99="",S100,X99&amp;"،  "&amp;S100))</f>
        <v>مراجعة حالة المخرجات المتأخرة،  الموافقة على رفع لوائح اللجان للمجلس</v>
      </c>
      <c r="Y100" s="50" t="str">
        <f aca="false">IF(T100="",Y99,IF(Y99="",T100,Y99&amp;"،  "&amp;T100))</f>
        <v>تسريع اعتماد مصفوفة الصلاحيات الشاملة،  جدولة جلسة اعتماد لائحة مجلس الإدارة</v>
      </c>
    </row>
    <row r="101" customFormat="false" ht="15" hidden="false" customHeight="false" outlineLevel="0" collapsed="false">
      <c r="Q101" s="50" t="str">
        <f aca="false">IFERROR(IF(INDEX(tblDeliverables[مؤشر الالتزام الزمني],99)="متأخر",INDEX(tblDeliverables[المخرج],99),""),"")</f>
        <v/>
      </c>
      <c r="R101" s="50" t="str">
        <f aca="false">IFERROR(IF(AND(INDEX(tblDeliverables[الأولوية],99)="عالية",INDEX(tblDeliverables[الحالة الحالية],99)&lt;&gt;"معتمد ونافذ",INDEX(tblDeliverables[المخرج],99)&lt;&gt;""),INDEX(tblDeliverables[المخرج],99),""),"")</f>
        <v/>
      </c>
      <c r="S101" s="50" t="str">
        <f aca="false">IFERROR(IF(INDEX(tblMeetings[الحالة],99)="مفتوح",INDEX(tblMeetings[أهم القرارات],99),""),"")</f>
        <v/>
      </c>
      <c r="T101" s="50" t="str">
        <f aca="false">IFERROR(IF(AND(INDEX(tblMeetings[تاريخ الاستحقاق],99)&lt;&gt;"",INDEX(tblMeetings[تاريخ الاستحقاق],99)&gt;=TODAY(),INDEX(tblMeetings[تاريخ الاستحقاق],99)&lt;=TODAY()+14,INDEX(tblMeetings[الحالة],99)&lt;&gt;"مغلق"),INDEX(tblMeetings[الإجراءات المطلوبة],99),""),"")</f>
        <v/>
      </c>
      <c r="V101" s="50" t="str">
        <f aca="false">IF(Q101="",V100,IF(V100="",Q101,V100&amp;"،  "&amp;Q101))</f>
        <v>مصفوفة الصلاحيات الشاملة</v>
      </c>
      <c r="W101" s="50" t="str">
        <f aca="false">IF(R101="",W100,IF(W100="",R101,W100&amp;"،  "&amp;R101))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1" s="50" t="str">
        <f aca="false">IF(S101="",X100,IF(X100="",S101,X100&amp;"،  "&amp;S101))</f>
        <v>مراجعة حالة المخرجات المتأخرة،  الموافقة على رفع لوائح اللجان للمجلس</v>
      </c>
      <c r="Y101" s="50" t="str">
        <f aca="false">IF(T101="",Y100,IF(Y100="",T101,Y100&amp;"،  "&amp;T101))</f>
        <v>تسريع اعتماد مصفوفة الصلاحيات الشاملة،  جدولة جلسة اعتماد لائحة مجلس الإدارة</v>
      </c>
    </row>
    <row r="102" customFormat="false" ht="15" hidden="false" customHeight="false" outlineLevel="0" collapsed="false">
      <c r="Q102" s="50" t="str">
        <f aca="false">IFERROR(IF(INDEX(tblDeliverables[مؤشر الالتزام الزمني],100)="متأخر",INDEX(tblDeliverables[المخرج],100),""),"")</f>
        <v/>
      </c>
      <c r="R102" s="50" t="str">
        <f aca="false">IFERROR(IF(AND(INDEX(tblDeliverables[الأولوية],100)="عالية",INDEX(tblDeliverables[الحالة الحالية],100)&lt;&gt;"معتمد ونافذ",INDEX(tblDeliverables[المخرج],100)&lt;&gt;""),INDEX(tblDeliverables[المخرج],100),""),"")</f>
        <v/>
      </c>
      <c r="S102" s="50" t="str">
        <f aca="false">IFERROR(IF(INDEX(tblMeetings[الحالة],100)="مفتوح",INDEX(tblMeetings[أهم القرارات],100),""),"")</f>
        <v/>
      </c>
      <c r="T102" s="50" t="str">
        <f aca="false">IFERROR(IF(AND(INDEX(tblMeetings[تاريخ الاستحقاق],100)&lt;&gt;"",INDEX(tblMeetings[تاريخ الاستحقاق],100)&gt;=TODAY(),INDEX(tblMeetings[تاريخ الاستحقاق],100)&lt;=TODAY()+14,INDEX(tblMeetings[الحالة],100)&lt;&gt;"مغلق"),INDEX(tblMeetings[الإجراءات المطلوبة],100),""),"")</f>
        <v/>
      </c>
      <c r="V102" s="50" t="str">
        <f aca="false">IF(Q102="",V101,IF(V101="",Q102,V101&amp;"،  "&amp;Q102))</f>
        <v>مصفوفة الصلاحيات الشاملة</v>
      </c>
      <c r="W102" s="50" t="str">
        <f aca="false">IF(R102="",W101,IF(W101="",R102,W101&amp;"،  "&amp;R102))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2" s="50" t="str">
        <f aca="false">IF(S102="",X101,IF(X101="",S102,X101&amp;"،  "&amp;S102))</f>
        <v>مراجعة حالة المخرجات المتأخرة،  الموافقة على رفع لوائح اللجان للمجلس</v>
      </c>
      <c r="Y102" s="50" t="str">
        <f aca="false">IF(T102="",Y101,IF(Y101="",T102,Y101&amp;"،  "&amp;T102))</f>
        <v>تسريع اعتماد مصفوفة الصلاحيات الشاملة،  جدولة جلسة اعتماد لائحة مجلس الإدارة</v>
      </c>
    </row>
    <row r="103" customFormat="false" ht="15" hidden="false" customHeight="false" outlineLevel="0" collapsed="false">
      <c r="Q103" s="50" t="str">
        <f aca="false">IFERROR(IF(INDEX(tblDeliverables[مؤشر الالتزام الزمني],101)="متأخر",INDEX(tblDeliverables[المخرج],101),""),"")</f>
        <v/>
      </c>
      <c r="R103" s="50" t="str">
        <f aca="false">IFERROR(IF(AND(INDEX(tblDeliverables[الأولوية],101)="عالية",INDEX(tblDeliverables[الحالة الحالية],101)&lt;&gt;"معتمد ونافذ",INDEX(tblDeliverables[المخرج],101)&lt;&gt;""),INDEX(tblDeliverables[المخرج],101),""),"")</f>
        <v/>
      </c>
      <c r="S103" s="50" t="str">
        <f aca="false">IFERROR(IF(INDEX(tblMeetings[الحالة],101)="مفتوح",INDEX(tblMeetings[أهم القرارات],101),""),"")</f>
        <v/>
      </c>
      <c r="T103" s="50" t="str">
        <f aca="false">IFERROR(IF(AND(INDEX(tblMeetings[تاريخ الاستحقاق],101)&lt;&gt;"",INDEX(tblMeetings[تاريخ الاستحقاق],101)&gt;=TODAY(),INDEX(tblMeetings[تاريخ الاستحقاق],101)&lt;=TODAY()+14,INDEX(tblMeetings[الحالة],101)&lt;&gt;"مغلق"),INDEX(tblMeetings[الإجراءات المطلوبة],101),""),"")</f>
        <v/>
      </c>
      <c r="V103" s="50" t="str">
        <f aca="false">IF(Q103="",V102,IF(V102="",Q103,V102&amp;"،  "&amp;Q103))</f>
        <v>مصفوفة الصلاحيات الشاملة</v>
      </c>
      <c r="W103" s="50" t="str">
        <f aca="false">IF(R103="",W102,IF(W102="",R103,W102&amp;"،  "&amp;R103))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3" s="50" t="str">
        <f aca="false">IF(S103="",X102,IF(X102="",S103,X102&amp;"،  "&amp;S103))</f>
        <v>مراجعة حالة المخرجات المتأخرة،  الموافقة على رفع لوائح اللجان للمجلس</v>
      </c>
      <c r="Y103" s="50" t="str">
        <f aca="false">IF(T103="",Y102,IF(Y102="",T103,Y102&amp;"،  "&amp;T103))</f>
        <v>تسريع اعتماد مصفوفة الصلاحيات الشاملة،  جدولة جلسة اعتماد لائحة مجلس الإدارة</v>
      </c>
    </row>
    <row r="104" customFormat="false" ht="15" hidden="false" customHeight="false" outlineLevel="0" collapsed="false">
      <c r="Q104" s="50" t="str">
        <f aca="false">IFERROR(IF(INDEX(tblDeliverables[مؤشر الالتزام الزمني],102)="متأخر",INDEX(tblDeliverables[المخرج],102),""),"")</f>
        <v/>
      </c>
      <c r="R104" s="50" t="str">
        <f aca="false">IFERROR(IF(AND(INDEX(tblDeliverables[الأولوية],102)="عالية",INDEX(tblDeliverables[الحالة الحالية],102)&lt;&gt;"معتمد ونافذ",INDEX(tblDeliverables[المخرج],102)&lt;&gt;""),INDEX(tblDeliverables[المخرج],102),""),"")</f>
        <v/>
      </c>
      <c r="S104" s="50" t="str">
        <f aca="false">IFERROR(IF(INDEX(tblMeetings[الحالة],102)="مفتوح",INDEX(tblMeetings[أهم القرارات],102),""),"")</f>
        <v/>
      </c>
      <c r="T104" s="50" t="str">
        <f aca="false">IFERROR(IF(AND(INDEX(tblMeetings[تاريخ الاستحقاق],102)&lt;&gt;"",INDEX(tblMeetings[تاريخ الاستحقاق],102)&gt;=TODAY(),INDEX(tblMeetings[تاريخ الاستحقاق],102)&lt;=TODAY()+14,INDEX(tblMeetings[الحالة],102)&lt;&gt;"مغلق"),INDEX(tblMeetings[الإجراءات المطلوبة],102),""),"")</f>
        <v/>
      </c>
      <c r="V104" s="50" t="str">
        <f aca="false">IF(Q104="",V103,IF(V103="",Q104,V103&amp;"،  "&amp;Q104))</f>
        <v>مصفوفة الصلاحيات الشاملة</v>
      </c>
      <c r="W104" s="50" t="str">
        <f aca="false">IF(R104="",W103,IF(W103="",R104,W103&amp;"،  "&amp;R104))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4" s="50" t="str">
        <f aca="false">IF(S104="",X103,IF(X103="",S104,X103&amp;"،  "&amp;S104))</f>
        <v>مراجعة حالة المخرجات المتأخرة،  الموافقة على رفع لوائح اللجان للمجلس</v>
      </c>
      <c r="Y104" s="50" t="str">
        <f aca="false">IF(T104="",Y103,IF(Y103="",T104,Y103&amp;"،  "&amp;T104))</f>
        <v>تسريع اعتماد مصفوفة الصلاحيات الشاملة،  جدولة جلسة اعتماد لائحة مجلس الإدارة</v>
      </c>
    </row>
    <row r="105" customFormat="false" ht="15" hidden="false" customHeight="false" outlineLevel="0" collapsed="false">
      <c r="Q105" s="50" t="str">
        <f aca="false">IFERROR(IF(INDEX(tblDeliverables[مؤشر الالتزام الزمني],103)="متأخر",INDEX(tblDeliverables[المخرج],103),""),"")</f>
        <v/>
      </c>
      <c r="R105" s="50" t="str">
        <f aca="false">IFERROR(IF(AND(INDEX(tblDeliverables[الأولوية],103)="عالية",INDEX(tblDeliverables[الحالة الحالية],103)&lt;&gt;"معتمد ونافذ",INDEX(tblDeliverables[المخرج],103)&lt;&gt;""),INDEX(tblDeliverables[المخرج],103),""),"")</f>
        <v/>
      </c>
      <c r="S105" s="50" t="str">
        <f aca="false">IFERROR(IF(INDEX(tblMeetings[الحالة],103)="مفتوح",INDEX(tblMeetings[أهم القرارات],103),""),"")</f>
        <v/>
      </c>
      <c r="T105" s="50" t="str">
        <f aca="false">IFERROR(IF(AND(INDEX(tblMeetings[تاريخ الاستحقاق],103)&lt;&gt;"",INDEX(tblMeetings[تاريخ الاستحقاق],103)&gt;=TODAY(),INDEX(tblMeetings[تاريخ الاستحقاق],103)&lt;=TODAY()+14,INDEX(tblMeetings[الحالة],103)&lt;&gt;"مغلق"),INDEX(tblMeetings[الإجراءات المطلوبة],103),""),"")</f>
        <v/>
      </c>
      <c r="V105" s="50" t="str">
        <f aca="false">IF(Q105="",V104,IF(V104="",Q105,V104&amp;"،  "&amp;Q105))</f>
        <v>مصفوفة الصلاحيات الشاملة</v>
      </c>
      <c r="W105" s="50" t="str">
        <f aca="false">IF(R105="",W104,IF(W104="",R105,W104&amp;"،  "&amp;R105))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5" s="50" t="str">
        <f aca="false">IF(S105="",X104,IF(X104="",S105,X104&amp;"،  "&amp;S105))</f>
        <v>مراجعة حالة المخرجات المتأخرة،  الموافقة على رفع لوائح اللجان للمجلس</v>
      </c>
      <c r="Y105" s="50" t="str">
        <f aca="false">IF(T105="",Y104,IF(Y104="",T105,Y104&amp;"،  "&amp;T105))</f>
        <v>تسريع اعتماد مصفوفة الصلاحيات الشاملة،  جدولة جلسة اعتماد لائحة مجلس الإدارة</v>
      </c>
    </row>
    <row r="106" customFormat="false" ht="15" hidden="false" customHeight="false" outlineLevel="0" collapsed="false">
      <c r="Q106" s="50" t="str">
        <f aca="false">IFERROR(IF(INDEX(tblDeliverables[مؤشر الالتزام الزمني],104)="متأخر",INDEX(tblDeliverables[المخرج],104),""),"")</f>
        <v/>
      </c>
      <c r="R106" s="50" t="str">
        <f aca="false">IFERROR(IF(AND(INDEX(tblDeliverables[الأولوية],104)="عالية",INDEX(tblDeliverables[الحالة الحالية],104)&lt;&gt;"معتمد ونافذ",INDEX(tblDeliverables[المخرج],104)&lt;&gt;""),INDEX(tblDeliverables[المخرج],104),""),"")</f>
        <v/>
      </c>
      <c r="S106" s="50" t="str">
        <f aca="false">IFERROR(IF(INDEX(tblMeetings[الحالة],104)="مفتوح",INDEX(tblMeetings[أهم القرارات],104),""),"")</f>
        <v/>
      </c>
      <c r="T106" s="50" t="str">
        <f aca="false">IFERROR(IF(AND(INDEX(tblMeetings[تاريخ الاستحقاق],104)&lt;&gt;"",INDEX(tblMeetings[تاريخ الاستحقاق],104)&gt;=TODAY(),INDEX(tblMeetings[تاريخ الاستحقاق],104)&lt;=TODAY()+14,INDEX(tblMeetings[الحالة],104)&lt;&gt;"مغلق"),INDEX(tblMeetings[الإجراءات المطلوبة],104),""),"")</f>
        <v/>
      </c>
      <c r="V106" s="50" t="str">
        <f aca="false">IF(Q106="",V105,IF(V105="",Q106,V105&amp;"،  "&amp;Q106))</f>
        <v>مصفوفة الصلاحيات الشاملة</v>
      </c>
      <c r="W106" s="50" t="str">
        <f aca="false">IF(R106="",W105,IF(W105="",R106,W105&amp;"،  "&amp;R106))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6" s="50" t="str">
        <f aca="false">IF(S106="",X105,IF(X105="",S106,X105&amp;"،  "&amp;S106))</f>
        <v>مراجعة حالة المخرجات المتأخرة،  الموافقة على رفع لوائح اللجان للمجلس</v>
      </c>
      <c r="Y106" s="50" t="str">
        <f aca="false">IF(T106="",Y105,IF(Y105="",T106,Y105&amp;"،  "&amp;T106))</f>
        <v>تسريع اعتماد مصفوفة الصلاحيات الشاملة،  جدولة جلسة اعتماد لائحة مجلس الإدارة</v>
      </c>
    </row>
    <row r="107" customFormat="false" ht="15" hidden="false" customHeight="false" outlineLevel="0" collapsed="false">
      <c r="Q107" s="50" t="str">
        <f aca="false">IFERROR(IF(INDEX(tblDeliverables[مؤشر الالتزام الزمني],105)="متأخر",INDEX(tblDeliverables[المخرج],105),""),"")</f>
        <v/>
      </c>
      <c r="R107" s="50" t="str">
        <f aca="false">IFERROR(IF(AND(INDEX(tblDeliverables[الأولوية],105)="عالية",INDEX(tblDeliverables[الحالة الحالية],105)&lt;&gt;"معتمد ونافذ",INDEX(tblDeliverables[المخرج],105)&lt;&gt;""),INDEX(tblDeliverables[المخرج],105),""),"")</f>
        <v/>
      </c>
      <c r="S107" s="50" t="str">
        <f aca="false">IFERROR(IF(INDEX(tblMeetings[الحالة],105)="مفتوح",INDEX(tblMeetings[أهم القرارات],105),""),"")</f>
        <v/>
      </c>
      <c r="T107" s="50" t="str">
        <f aca="false">IFERROR(IF(AND(INDEX(tblMeetings[تاريخ الاستحقاق],105)&lt;&gt;"",INDEX(tblMeetings[تاريخ الاستحقاق],105)&gt;=TODAY(),INDEX(tblMeetings[تاريخ الاستحقاق],105)&lt;=TODAY()+14,INDEX(tblMeetings[الحالة],105)&lt;&gt;"مغلق"),INDEX(tblMeetings[الإجراءات المطلوبة],105),""),"")</f>
        <v/>
      </c>
      <c r="V107" s="50" t="str">
        <f aca="false">IF(Q107="",V106,IF(V106="",Q107,V106&amp;"،  "&amp;Q107))</f>
        <v>مصفوفة الصلاحيات الشاملة</v>
      </c>
      <c r="W107" s="50" t="str">
        <f aca="false">IF(R107="",W106,IF(W106="",R107,W106&amp;"،  "&amp;R107))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7" s="50" t="str">
        <f aca="false">IF(S107="",X106,IF(X106="",S107,X106&amp;"،  "&amp;S107))</f>
        <v>مراجعة حالة المخرجات المتأخرة،  الموافقة على رفع لوائح اللجان للمجلس</v>
      </c>
      <c r="Y107" s="50" t="str">
        <f aca="false">IF(T107="",Y106,IF(Y106="",T107,Y106&amp;"،  "&amp;T107))</f>
        <v>تسريع اعتماد مصفوفة الصلاحيات الشاملة،  جدولة جلسة اعتماد لائحة مجلس الإدارة</v>
      </c>
    </row>
    <row r="108" customFormat="false" ht="15" hidden="false" customHeight="false" outlineLevel="0" collapsed="false">
      <c r="Q108" s="50" t="str">
        <f aca="false">IFERROR(IF(INDEX(tblDeliverables[مؤشر الالتزام الزمني],106)="متأخر",INDEX(tblDeliverables[المخرج],106),""),"")</f>
        <v/>
      </c>
      <c r="R108" s="50" t="str">
        <f aca="false">IFERROR(IF(AND(INDEX(tblDeliverables[الأولوية],106)="عالية",INDEX(tblDeliverables[الحالة الحالية],106)&lt;&gt;"معتمد ونافذ",INDEX(tblDeliverables[المخرج],106)&lt;&gt;""),INDEX(tblDeliverables[المخرج],106),""),"")</f>
        <v/>
      </c>
      <c r="S108" s="50" t="str">
        <f aca="false">IFERROR(IF(INDEX(tblMeetings[الحالة],106)="مفتوح",INDEX(tblMeetings[أهم القرارات],106),""),"")</f>
        <v/>
      </c>
      <c r="T108" s="50" t="str">
        <f aca="false">IFERROR(IF(AND(INDEX(tblMeetings[تاريخ الاستحقاق],106)&lt;&gt;"",INDEX(tblMeetings[تاريخ الاستحقاق],106)&gt;=TODAY(),INDEX(tblMeetings[تاريخ الاستحقاق],106)&lt;=TODAY()+14,INDEX(tblMeetings[الحالة],106)&lt;&gt;"مغلق"),INDEX(tblMeetings[الإجراءات المطلوبة],106),""),"")</f>
        <v/>
      </c>
      <c r="V108" s="50" t="str">
        <f aca="false">IF(Q108="",V107,IF(V107="",Q108,V107&amp;"،  "&amp;Q108))</f>
        <v>مصفوفة الصلاحيات الشاملة</v>
      </c>
      <c r="W108" s="50" t="str">
        <f aca="false">IF(R108="",W107,IF(W107="",R108,W107&amp;"،  "&amp;R108))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8" s="50" t="str">
        <f aca="false">IF(S108="",X107,IF(X107="",S108,X107&amp;"،  "&amp;S108))</f>
        <v>مراجعة حالة المخرجات المتأخرة،  الموافقة على رفع لوائح اللجان للمجلس</v>
      </c>
      <c r="Y108" s="50" t="str">
        <f aca="false">IF(T108="",Y107,IF(Y107="",T108,Y107&amp;"،  "&amp;T108))</f>
        <v>تسريع اعتماد مصفوفة الصلاحيات الشاملة،  جدولة جلسة اعتماد لائحة مجلس الإدارة</v>
      </c>
    </row>
    <row r="109" customFormat="false" ht="15" hidden="false" customHeight="false" outlineLevel="0" collapsed="false">
      <c r="Q109" s="50" t="str">
        <f aca="false">IFERROR(IF(INDEX(tblDeliverables[مؤشر الالتزام الزمني],107)="متأخر",INDEX(tblDeliverables[المخرج],107),""),"")</f>
        <v/>
      </c>
      <c r="R109" s="50" t="str">
        <f aca="false">IFERROR(IF(AND(INDEX(tblDeliverables[الأولوية],107)="عالية",INDEX(tblDeliverables[الحالة الحالية],107)&lt;&gt;"معتمد ونافذ",INDEX(tblDeliverables[المخرج],107)&lt;&gt;""),INDEX(tblDeliverables[المخرج],107),""),"")</f>
        <v/>
      </c>
      <c r="S109" s="50" t="str">
        <f aca="false">IFERROR(IF(INDEX(tblMeetings[الحالة],107)="مفتوح",INDEX(tblMeetings[أهم القرارات],107),""),"")</f>
        <v/>
      </c>
      <c r="T109" s="50" t="str">
        <f aca="false">IFERROR(IF(AND(INDEX(tblMeetings[تاريخ الاستحقاق],107)&lt;&gt;"",INDEX(tblMeetings[تاريخ الاستحقاق],107)&gt;=TODAY(),INDEX(tblMeetings[تاريخ الاستحقاق],107)&lt;=TODAY()+14,INDEX(tblMeetings[الحالة],107)&lt;&gt;"مغلق"),INDEX(tblMeetings[الإجراءات المطلوبة],107),""),"")</f>
        <v/>
      </c>
      <c r="V109" s="50" t="str">
        <f aca="false">IF(Q109="",V108,IF(V108="",Q109,V108&amp;"،  "&amp;Q109))</f>
        <v>مصفوفة الصلاحيات الشاملة</v>
      </c>
      <c r="W109" s="50" t="str">
        <f aca="false">IF(R109="",W108,IF(W108="",R109,W108&amp;"،  "&amp;R109))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09" s="50" t="str">
        <f aca="false">IF(S109="",X108,IF(X108="",S109,X108&amp;"،  "&amp;S109))</f>
        <v>مراجعة حالة المخرجات المتأخرة،  الموافقة على رفع لوائح اللجان للمجلس</v>
      </c>
      <c r="Y109" s="50" t="str">
        <f aca="false">IF(T109="",Y108,IF(Y108="",T109,Y108&amp;"،  "&amp;T109))</f>
        <v>تسريع اعتماد مصفوفة الصلاحيات الشاملة،  جدولة جلسة اعتماد لائحة مجلس الإدارة</v>
      </c>
    </row>
    <row r="110" customFormat="false" ht="15" hidden="false" customHeight="false" outlineLevel="0" collapsed="false">
      <c r="Q110" s="50" t="str">
        <f aca="false">IFERROR(IF(INDEX(tblDeliverables[مؤشر الالتزام الزمني],108)="متأخر",INDEX(tblDeliverables[المخرج],108),""),"")</f>
        <v/>
      </c>
      <c r="R110" s="50" t="str">
        <f aca="false">IFERROR(IF(AND(INDEX(tblDeliverables[الأولوية],108)="عالية",INDEX(tblDeliverables[الحالة الحالية],108)&lt;&gt;"معتمد ونافذ",INDEX(tblDeliverables[المخرج],108)&lt;&gt;""),INDEX(tblDeliverables[المخرج],108),""),"")</f>
        <v/>
      </c>
      <c r="S110" s="50" t="str">
        <f aca="false">IFERROR(IF(INDEX(tblMeetings[الحالة],108)="مفتوح",INDEX(tblMeetings[أهم القرارات],108),""),"")</f>
        <v/>
      </c>
      <c r="T110" s="50" t="str">
        <f aca="false">IFERROR(IF(AND(INDEX(tblMeetings[تاريخ الاستحقاق],108)&lt;&gt;"",INDEX(tblMeetings[تاريخ الاستحقاق],108)&gt;=TODAY(),INDEX(tblMeetings[تاريخ الاستحقاق],108)&lt;=TODAY()+14,INDEX(tblMeetings[الحالة],108)&lt;&gt;"مغلق"),INDEX(tblMeetings[الإجراءات المطلوبة],108),""),"")</f>
        <v/>
      </c>
      <c r="V110" s="50" t="str">
        <f aca="false">IF(Q110="",V109,IF(V109="",Q110,V109&amp;"،  "&amp;Q110))</f>
        <v>مصفوفة الصلاحيات الشاملة</v>
      </c>
      <c r="W110" s="50" t="str">
        <f aca="false">IF(R110="",W109,IF(W109="",R110,W109&amp;"،  "&amp;R110))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0" s="50" t="str">
        <f aca="false">IF(S110="",X109,IF(X109="",S110,X109&amp;"،  "&amp;S110))</f>
        <v>مراجعة حالة المخرجات المتأخرة،  الموافقة على رفع لوائح اللجان للمجلس</v>
      </c>
      <c r="Y110" s="50" t="str">
        <f aca="false">IF(T110="",Y109,IF(Y109="",T110,Y109&amp;"،  "&amp;T110))</f>
        <v>تسريع اعتماد مصفوفة الصلاحيات الشاملة،  جدولة جلسة اعتماد لائحة مجلس الإدارة</v>
      </c>
    </row>
    <row r="111" customFormat="false" ht="15" hidden="false" customHeight="false" outlineLevel="0" collapsed="false">
      <c r="Q111" s="50" t="str">
        <f aca="false">IFERROR(IF(INDEX(tblDeliverables[مؤشر الالتزام الزمني],109)="متأخر",INDEX(tblDeliverables[المخرج],109),""),"")</f>
        <v/>
      </c>
      <c r="R111" s="50" t="str">
        <f aca="false">IFERROR(IF(AND(INDEX(tblDeliverables[الأولوية],109)="عالية",INDEX(tblDeliverables[الحالة الحالية],109)&lt;&gt;"معتمد ونافذ",INDEX(tblDeliverables[المخرج],109)&lt;&gt;""),INDEX(tblDeliverables[المخرج],109),""),"")</f>
        <v/>
      </c>
      <c r="S111" s="50" t="str">
        <f aca="false">IFERROR(IF(INDEX(tblMeetings[الحالة],109)="مفتوح",INDEX(tblMeetings[أهم القرارات],109),""),"")</f>
        <v/>
      </c>
      <c r="T111" s="50" t="str">
        <f aca="false">IFERROR(IF(AND(INDEX(tblMeetings[تاريخ الاستحقاق],109)&lt;&gt;"",INDEX(tblMeetings[تاريخ الاستحقاق],109)&gt;=TODAY(),INDEX(tblMeetings[تاريخ الاستحقاق],109)&lt;=TODAY()+14,INDEX(tblMeetings[الحالة],109)&lt;&gt;"مغلق"),INDEX(tblMeetings[الإجراءات المطلوبة],109),""),"")</f>
        <v/>
      </c>
      <c r="V111" s="50" t="str">
        <f aca="false">IF(Q111="",V110,IF(V110="",Q111,V110&amp;"،  "&amp;Q111))</f>
        <v>مصفوفة الصلاحيات الشاملة</v>
      </c>
      <c r="W111" s="50" t="str">
        <f aca="false">IF(R111="",W110,IF(W110="",R111,W110&amp;"،  "&amp;R111))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1" s="50" t="str">
        <f aca="false">IF(S111="",X110,IF(X110="",S111,X110&amp;"،  "&amp;S111))</f>
        <v>مراجعة حالة المخرجات المتأخرة،  الموافقة على رفع لوائح اللجان للمجلس</v>
      </c>
      <c r="Y111" s="50" t="str">
        <f aca="false">IF(T111="",Y110,IF(Y110="",T111,Y110&amp;"،  "&amp;T111))</f>
        <v>تسريع اعتماد مصفوفة الصلاحيات الشاملة،  جدولة جلسة اعتماد لائحة مجلس الإدارة</v>
      </c>
    </row>
    <row r="112" customFormat="false" ht="15" hidden="false" customHeight="false" outlineLevel="0" collapsed="false">
      <c r="Q112" s="50" t="str">
        <f aca="false">IFERROR(IF(INDEX(tblDeliverables[مؤشر الالتزام الزمني],110)="متأخر",INDEX(tblDeliverables[المخرج],110),""),"")</f>
        <v/>
      </c>
      <c r="R112" s="50" t="str">
        <f aca="false">IFERROR(IF(AND(INDEX(tblDeliverables[الأولوية],110)="عالية",INDEX(tblDeliverables[الحالة الحالية],110)&lt;&gt;"معتمد ونافذ",INDEX(tblDeliverables[المخرج],110)&lt;&gt;""),INDEX(tblDeliverables[المخرج],110),""),"")</f>
        <v/>
      </c>
      <c r="S112" s="50" t="str">
        <f aca="false">IFERROR(IF(INDEX(tblMeetings[الحالة],110)="مفتوح",INDEX(tblMeetings[أهم القرارات],110),""),"")</f>
        <v/>
      </c>
      <c r="T112" s="50" t="str">
        <f aca="false">IFERROR(IF(AND(INDEX(tblMeetings[تاريخ الاستحقاق],110)&lt;&gt;"",INDEX(tblMeetings[تاريخ الاستحقاق],110)&gt;=TODAY(),INDEX(tblMeetings[تاريخ الاستحقاق],110)&lt;=TODAY()+14,INDEX(tblMeetings[الحالة],110)&lt;&gt;"مغلق"),INDEX(tblMeetings[الإجراءات المطلوبة],110),""),"")</f>
        <v/>
      </c>
      <c r="V112" s="50" t="str">
        <f aca="false">IF(Q112="",V111,IF(V111="",Q112,V111&amp;"،  "&amp;Q112))</f>
        <v>مصفوفة الصلاحيات الشاملة</v>
      </c>
      <c r="W112" s="50" t="str">
        <f aca="false">IF(R112="",W111,IF(W111="",R112,W111&amp;"،  "&amp;R112))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2" s="50" t="str">
        <f aca="false">IF(S112="",X111,IF(X111="",S112,X111&amp;"،  "&amp;S112))</f>
        <v>مراجعة حالة المخرجات المتأخرة،  الموافقة على رفع لوائح اللجان للمجلس</v>
      </c>
      <c r="Y112" s="50" t="str">
        <f aca="false">IF(T112="",Y111,IF(Y111="",T112,Y111&amp;"،  "&amp;T112))</f>
        <v>تسريع اعتماد مصفوفة الصلاحيات الشاملة،  جدولة جلسة اعتماد لائحة مجلس الإدارة</v>
      </c>
    </row>
    <row r="113" customFormat="false" ht="15" hidden="false" customHeight="false" outlineLevel="0" collapsed="false">
      <c r="Q113" s="50" t="str">
        <f aca="false">IFERROR(IF(INDEX(tblDeliverables[مؤشر الالتزام الزمني],111)="متأخر",INDEX(tblDeliverables[المخرج],111),""),"")</f>
        <v/>
      </c>
      <c r="R113" s="50" t="str">
        <f aca="false">IFERROR(IF(AND(INDEX(tblDeliverables[الأولوية],111)="عالية",INDEX(tblDeliverables[الحالة الحالية],111)&lt;&gt;"معتمد ونافذ",INDEX(tblDeliverables[المخرج],111)&lt;&gt;""),INDEX(tblDeliverables[المخرج],111),""),"")</f>
        <v/>
      </c>
      <c r="S113" s="50" t="str">
        <f aca="false">IFERROR(IF(INDEX(tblMeetings[الحالة],111)="مفتوح",INDEX(tblMeetings[أهم القرارات],111),""),"")</f>
        <v/>
      </c>
      <c r="T113" s="50" t="str">
        <f aca="false">IFERROR(IF(AND(INDEX(tblMeetings[تاريخ الاستحقاق],111)&lt;&gt;"",INDEX(tblMeetings[تاريخ الاستحقاق],111)&gt;=TODAY(),INDEX(tblMeetings[تاريخ الاستحقاق],111)&lt;=TODAY()+14,INDEX(tblMeetings[الحالة],111)&lt;&gt;"مغلق"),INDEX(tblMeetings[الإجراءات المطلوبة],111),""),"")</f>
        <v/>
      </c>
      <c r="V113" s="50" t="str">
        <f aca="false">IF(Q113="",V112,IF(V112="",Q113,V112&amp;"،  "&amp;Q113))</f>
        <v>مصفوفة الصلاحيات الشاملة</v>
      </c>
      <c r="W113" s="50" t="str">
        <f aca="false">IF(R113="",W112,IF(W112="",R113,W112&amp;"،  "&amp;R113))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3" s="50" t="str">
        <f aca="false">IF(S113="",X112,IF(X112="",S113,X112&amp;"،  "&amp;S113))</f>
        <v>مراجعة حالة المخرجات المتأخرة،  الموافقة على رفع لوائح اللجان للمجلس</v>
      </c>
      <c r="Y113" s="50" t="str">
        <f aca="false">IF(T113="",Y112,IF(Y112="",T113,Y112&amp;"،  "&amp;T113))</f>
        <v>تسريع اعتماد مصفوفة الصلاحيات الشاملة،  جدولة جلسة اعتماد لائحة مجلس الإدارة</v>
      </c>
    </row>
    <row r="114" customFormat="false" ht="15" hidden="false" customHeight="false" outlineLevel="0" collapsed="false">
      <c r="Q114" s="50" t="str">
        <f aca="false">IFERROR(IF(INDEX(tblDeliverables[مؤشر الالتزام الزمني],112)="متأخر",INDEX(tblDeliverables[المخرج],112),""),"")</f>
        <v/>
      </c>
      <c r="R114" s="50" t="str">
        <f aca="false">IFERROR(IF(AND(INDEX(tblDeliverables[الأولوية],112)="عالية",INDEX(tblDeliverables[الحالة الحالية],112)&lt;&gt;"معتمد ونافذ",INDEX(tblDeliverables[المخرج],112)&lt;&gt;""),INDEX(tblDeliverables[المخرج],112),""),"")</f>
        <v/>
      </c>
      <c r="S114" s="50" t="str">
        <f aca="false">IFERROR(IF(INDEX(tblMeetings[الحالة],112)="مفتوح",INDEX(tblMeetings[أهم القرارات],112),""),"")</f>
        <v/>
      </c>
      <c r="T114" s="50" t="str">
        <f aca="false">IFERROR(IF(AND(INDEX(tblMeetings[تاريخ الاستحقاق],112)&lt;&gt;"",INDEX(tblMeetings[تاريخ الاستحقاق],112)&gt;=TODAY(),INDEX(tblMeetings[تاريخ الاستحقاق],112)&lt;=TODAY()+14,INDEX(tblMeetings[الحالة],112)&lt;&gt;"مغلق"),INDEX(tblMeetings[الإجراءات المطلوبة],112),""),"")</f>
        <v/>
      </c>
      <c r="V114" s="50" t="str">
        <f aca="false">IF(Q114="",V113,IF(V113="",Q114,V113&amp;"،  "&amp;Q114))</f>
        <v>مصفوفة الصلاحيات الشاملة</v>
      </c>
      <c r="W114" s="50" t="str">
        <f aca="false">IF(R114="",W113,IF(W113="",R114,W113&amp;"،  "&amp;R114))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4" s="50" t="str">
        <f aca="false">IF(S114="",X113,IF(X113="",S114,X113&amp;"،  "&amp;S114))</f>
        <v>مراجعة حالة المخرجات المتأخرة،  الموافقة على رفع لوائح اللجان للمجلس</v>
      </c>
      <c r="Y114" s="50" t="str">
        <f aca="false">IF(T114="",Y113,IF(Y113="",T114,Y113&amp;"،  "&amp;T114))</f>
        <v>تسريع اعتماد مصفوفة الصلاحيات الشاملة،  جدولة جلسة اعتماد لائحة مجلس الإدارة</v>
      </c>
    </row>
    <row r="115" customFormat="false" ht="15" hidden="false" customHeight="false" outlineLevel="0" collapsed="false">
      <c r="Q115" s="50" t="str">
        <f aca="false">IFERROR(IF(INDEX(tblDeliverables[مؤشر الالتزام الزمني],113)="متأخر",INDEX(tblDeliverables[المخرج],113),""),"")</f>
        <v/>
      </c>
      <c r="R115" s="50" t="str">
        <f aca="false">IFERROR(IF(AND(INDEX(tblDeliverables[الأولوية],113)="عالية",INDEX(tblDeliverables[الحالة الحالية],113)&lt;&gt;"معتمد ونافذ",INDEX(tblDeliverables[المخرج],113)&lt;&gt;""),INDEX(tblDeliverables[المخرج],113),""),"")</f>
        <v/>
      </c>
      <c r="S115" s="50" t="str">
        <f aca="false">IFERROR(IF(INDEX(tblMeetings[الحالة],113)="مفتوح",INDEX(tblMeetings[أهم القرارات],113),""),"")</f>
        <v/>
      </c>
      <c r="T115" s="50" t="str">
        <f aca="false">IFERROR(IF(AND(INDEX(tblMeetings[تاريخ الاستحقاق],113)&lt;&gt;"",INDEX(tblMeetings[تاريخ الاستحقاق],113)&gt;=TODAY(),INDEX(tblMeetings[تاريخ الاستحقاق],113)&lt;=TODAY()+14,INDEX(tblMeetings[الحالة],113)&lt;&gt;"مغلق"),INDEX(tblMeetings[الإجراءات المطلوبة],113),""),"")</f>
        <v/>
      </c>
      <c r="V115" s="50" t="str">
        <f aca="false">IF(Q115="",V114,IF(V114="",Q115,V114&amp;"،  "&amp;Q115))</f>
        <v>مصفوفة الصلاحيات الشاملة</v>
      </c>
      <c r="W115" s="50" t="str">
        <f aca="false">IF(R115="",W114,IF(W114="",R115,W114&amp;"،  "&amp;R115))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5" s="50" t="str">
        <f aca="false">IF(S115="",X114,IF(X114="",S115,X114&amp;"،  "&amp;S115))</f>
        <v>مراجعة حالة المخرجات المتأخرة،  الموافقة على رفع لوائح اللجان للمجلس</v>
      </c>
      <c r="Y115" s="50" t="str">
        <f aca="false">IF(T115="",Y114,IF(Y114="",T115,Y114&amp;"،  "&amp;T115))</f>
        <v>تسريع اعتماد مصفوفة الصلاحيات الشاملة،  جدولة جلسة اعتماد لائحة مجلس الإدارة</v>
      </c>
    </row>
    <row r="116" customFormat="false" ht="15" hidden="false" customHeight="false" outlineLevel="0" collapsed="false">
      <c r="Q116" s="50" t="str">
        <f aca="false">IFERROR(IF(INDEX(tblDeliverables[مؤشر الالتزام الزمني],114)="متأخر",INDEX(tblDeliverables[المخرج],114),""),"")</f>
        <v/>
      </c>
      <c r="R116" s="50" t="str">
        <f aca="false">IFERROR(IF(AND(INDEX(tblDeliverables[الأولوية],114)="عالية",INDEX(tblDeliverables[الحالة الحالية],114)&lt;&gt;"معتمد ونافذ",INDEX(tblDeliverables[المخرج],114)&lt;&gt;""),INDEX(tblDeliverables[المخرج],114),""),"")</f>
        <v/>
      </c>
      <c r="S116" s="50" t="str">
        <f aca="false">IFERROR(IF(INDEX(tblMeetings[الحالة],114)="مفتوح",INDEX(tblMeetings[أهم القرارات],114),""),"")</f>
        <v/>
      </c>
      <c r="T116" s="50" t="str">
        <f aca="false">IFERROR(IF(AND(INDEX(tblMeetings[تاريخ الاستحقاق],114)&lt;&gt;"",INDEX(tblMeetings[تاريخ الاستحقاق],114)&gt;=TODAY(),INDEX(tblMeetings[تاريخ الاستحقاق],114)&lt;=TODAY()+14,INDEX(tblMeetings[الحالة],114)&lt;&gt;"مغلق"),INDEX(tblMeetings[الإجراءات المطلوبة],114),""),"")</f>
        <v/>
      </c>
      <c r="V116" s="50" t="str">
        <f aca="false">IF(Q116="",V115,IF(V115="",Q116,V115&amp;"،  "&amp;Q116))</f>
        <v>مصفوفة الصلاحيات الشاملة</v>
      </c>
      <c r="W116" s="50" t="str">
        <f aca="false">IF(R116="",W115,IF(W115="",R116,W115&amp;"،  "&amp;R116))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6" s="50" t="str">
        <f aca="false">IF(S116="",X115,IF(X115="",S116,X115&amp;"،  "&amp;S116))</f>
        <v>مراجعة حالة المخرجات المتأخرة،  الموافقة على رفع لوائح اللجان للمجلس</v>
      </c>
      <c r="Y116" s="50" t="str">
        <f aca="false">IF(T116="",Y115,IF(Y115="",T116,Y115&amp;"،  "&amp;T116))</f>
        <v>تسريع اعتماد مصفوفة الصلاحيات الشاملة،  جدولة جلسة اعتماد لائحة مجلس الإدارة</v>
      </c>
    </row>
    <row r="117" customFormat="false" ht="15" hidden="false" customHeight="false" outlineLevel="0" collapsed="false">
      <c r="Q117" s="50" t="str">
        <f aca="false">IFERROR(IF(INDEX(tblDeliverables[مؤشر الالتزام الزمني],115)="متأخر",INDEX(tblDeliverables[المخرج],115),""),"")</f>
        <v/>
      </c>
      <c r="R117" s="50" t="str">
        <f aca="false">IFERROR(IF(AND(INDEX(tblDeliverables[الأولوية],115)="عالية",INDEX(tblDeliverables[الحالة الحالية],115)&lt;&gt;"معتمد ونافذ",INDEX(tblDeliverables[المخرج],115)&lt;&gt;""),INDEX(tblDeliverables[المخرج],115),""),"")</f>
        <v/>
      </c>
      <c r="S117" s="50" t="str">
        <f aca="false">IFERROR(IF(INDEX(tblMeetings[الحالة],115)="مفتوح",INDEX(tblMeetings[أهم القرارات],115),""),"")</f>
        <v/>
      </c>
      <c r="T117" s="50" t="str">
        <f aca="false">IFERROR(IF(AND(INDEX(tblMeetings[تاريخ الاستحقاق],115)&lt;&gt;"",INDEX(tblMeetings[تاريخ الاستحقاق],115)&gt;=TODAY(),INDEX(tblMeetings[تاريخ الاستحقاق],115)&lt;=TODAY()+14,INDEX(tblMeetings[الحالة],115)&lt;&gt;"مغلق"),INDEX(tblMeetings[الإجراءات المطلوبة],115),""),"")</f>
        <v/>
      </c>
      <c r="V117" s="50" t="str">
        <f aca="false">IF(Q117="",V116,IF(V116="",Q117,V116&amp;"،  "&amp;Q117))</f>
        <v>مصفوفة الصلاحيات الشاملة</v>
      </c>
      <c r="W117" s="50" t="str">
        <f aca="false">IF(R117="",W116,IF(W116="",R117,W116&amp;"،  "&amp;R117))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7" s="50" t="str">
        <f aca="false">IF(S117="",X116,IF(X116="",S117,X116&amp;"،  "&amp;S117))</f>
        <v>مراجعة حالة المخرجات المتأخرة،  الموافقة على رفع لوائح اللجان للمجلس</v>
      </c>
      <c r="Y117" s="50" t="str">
        <f aca="false">IF(T117="",Y116,IF(Y116="",T117,Y116&amp;"،  "&amp;T117))</f>
        <v>تسريع اعتماد مصفوفة الصلاحيات الشاملة،  جدولة جلسة اعتماد لائحة مجلس الإدارة</v>
      </c>
    </row>
    <row r="118" customFormat="false" ht="15" hidden="false" customHeight="false" outlineLevel="0" collapsed="false">
      <c r="Q118" s="50" t="str">
        <f aca="false">IFERROR(IF(INDEX(tblDeliverables[مؤشر الالتزام الزمني],116)="متأخر",INDEX(tblDeliverables[المخرج],116),""),"")</f>
        <v/>
      </c>
      <c r="R118" s="50" t="str">
        <f aca="false">IFERROR(IF(AND(INDEX(tblDeliverables[الأولوية],116)="عالية",INDEX(tblDeliverables[الحالة الحالية],116)&lt;&gt;"معتمد ونافذ",INDEX(tblDeliverables[المخرج],116)&lt;&gt;""),INDEX(tblDeliverables[المخرج],116),""),"")</f>
        <v/>
      </c>
      <c r="S118" s="50" t="str">
        <f aca="false">IFERROR(IF(INDEX(tblMeetings[الحالة],116)="مفتوح",INDEX(tblMeetings[أهم القرارات],116),""),"")</f>
        <v/>
      </c>
      <c r="T118" s="50" t="str">
        <f aca="false">IFERROR(IF(AND(INDEX(tblMeetings[تاريخ الاستحقاق],116)&lt;&gt;"",INDEX(tblMeetings[تاريخ الاستحقاق],116)&gt;=TODAY(),INDEX(tblMeetings[تاريخ الاستحقاق],116)&lt;=TODAY()+14,INDEX(tblMeetings[الحالة],116)&lt;&gt;"مغلق"),INDEX(tblMeetings[الإجراءات المطلوبة],116),""),"")</f>
        <v/>
      </c>
      <c r="V118" s="50" t="str">
        <f aca="false">IF(Q118="",V117,IF(V117="",Q118,V117&amp;"،  "&amp;Q118))</f>
        <v>مصفوفة الصلاحيات الشاملة</v>
      </c>
      <c r="W118" s="50" t="str">
        <f aca="false">IF(R118="",W117,IF(W117="",R118,W117&amp;"،  "&amp;R118))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8" s="50" t="str">
        <f aca="false">IF(S118="",X117,IF(X117="",S118,X117&amp;"،  "&amp;S118))</f>
        <v>مراجعة حالة المخرجات المتأخرة،  الموافقة على رفع لوائح اللجان للمجلس</v>
      </c>
      <c r="Y118" s="50" t="str">
        <f aca="false">IF(T118="",Y117,IF(Y117="",T118,Y117&amp;"،  "&amp;T118))</f>
        <v>تسريع اعتماد مصفوفة الصلاحيات الشاملة،  جدولة جلسة اعتماد لائحة مجلس الإدارة</v>
      </c>
    </row>
    <row r="119" customFormat="false" ht="15" hidden="false" customHeight="false" outlineLevel="0" collapsed="false">
      <c r="Q119" s="50" t="str">
        <f aca="false">IFERROR(IF(INDEX(tblDeliverables[مؤشر الالتزام الزمني],117)="متأخر",INDEX(tblDeliverables[المخرج],117),""),"")</f>
        <v/>
      </c>
      <c r="R119" s="50" t="str">
        <f aca="false">IFERROR(IF(AND(INDEX(tblDeliverables[الأولوية],117)="عالية",INDEX(tblDeliverables[الحالة الحالية],117)&lt;&gt;"معتمد ونافذ",INDEX(tblDeliverables[المخرج],117)&lt;&gt;""),INDEX(tblDeliverables[المخرج],117),""),"")</f>
        <v/>
      </c>
      <c r="S119" s="50" t="str">
        <f aca="false">IFERROR(IF(INDEX(tblMeetings[الحالة],117)="مفتوح",INDEX(tblMeetings[أهم القرارات],117),""),"")</f>
        <v/>
      </c>
      <c r="T119" s="50" t="str">
        <f aca="false">IFERROR(IF(AND(INDEX(tblMeetings[تاريخ الاستحقاق],117)&lt;&gt;"",INDEX(tblMeetings[تاريخ الاستحقاق],117)&gt;=TODAY(),INDEX(tblMeetings[تاريخ الاستحقاق],117)&lt;=TODAY()+14,INDEX(tblMeetings[الحالة],117)&lt;&gt;"مغلق"),INDEX(tblMeetings[الإجراءات المطلوبة],117),""),"")</f>
        <v/>
      </c>
      <c r="V119" s="50" t="str">
        <f aca="false">IF(Q119="",V118,IF(V118="",Q119,V118&amp;"،  "&amp;Q119))</f>
        <v>مصفوفة الصلاحيات الشاملة</v>
      </c>
      <c r="W119" s="50" t="str">
        <f aca="false">IF(R119="",W118,IF(W118="",R119,W118&amp;"،  "&amp;R119))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19" s="50" t="str">
        <f aca="false">IF(S119="",X118,IF(X118="",S119,X118&amp;"،  "&amp;S119))</f>
        <v>مراجعة حالة المخرجات المتأخرة،  الموافقة على رفع لوائح اللجان للمجلس</v>
      </c>
      <c r="Y119" s="50" t="str">
        <f aca="false">IF(T119="",Y118,IF(Y118="",T119,Y118&amp;"،  "&amp;T119))</f>
        <v>تسريع اعتماد مصفوفة الصلاحيات الشاملة،  جدولة جلسة اعتماد لائحة مجلس الإدارة</v>
      </c>
    </row>
    <row r="120" customFormat="false" ht="15" hidden="false" customHeight="false" outlineLevel="0" collapsed="false">
      <c r="Q120" s="50" t="str">
        <f aca="false">IFERROR(IF(INDEX(tblDeliverables[مؤشر الالتزام الزمني],118)="متأخر",INDEX(tblDeliverables[المخرج],118),""),"")</f>
        <v/>
      </c>
      <c r="R120" s="50" t="str">
        <f aca="false">IFERROR(IF(AND(INDEX(tblDeliverables[الأولوية],118)="عالية",INDEX(tblDeliverables[الحالة الحالية],118)&lt;&gt;"معتمد ونافذ",INDEX(tblDeliverables[المخرج],118)&lt;&gt;""),INDEX(tblDeliverables[المخرج],118),""),"")</f>
        <v/>
      </c>
      <c r="S120" s="50" t="str">
        <f aca="false">IFERROR(IF(INDEX(tblMeetings[الحالة],118)="مفتوح",INDEX(tblMeetings[أهم القرارات],118),""),"")</f>
        <v/>
      </c>
      <c r="T120" s="50" t="str">
        <f aca="false">IFERROR(IF(AND(INDEX(tblMeetings[تاريخ الاستحقاق],118)&lt;&gt;"",INDEX(tblMeetings[تاريخ الاستحقاق],118)&gt;=TODAY(),INDEX(tblMeetings[تاريخ الاستحقاق],118)&lt;=TODAY()+14,INDEX(tblMeetings[الحالة],118)&lt;&gt;"مغلق"),INDEX(tblMeetings[الإجراءات المطلوبة],118),""),"")</f>
        <v/>
      </c>
      <c r="V120" s="50" t="str">
        <f aca="false">IF(Q120="",V119,IF(V119="",Q120,V119&amp;"،  "&amp;Q120))</f>
        <v>مصفوفة الصلاحيات الشاملة</v>
      </c>
      <c r="W120" s="50" t="str">
        <f aca="false">IF(R120="",W119,IF(W119="",R120,W119&amp;"،  "&amp;R120))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0" s="50" t="str">
        <f aca="false">IF(S120="",X119,IF(X119="",S120,X119&amp;"،  "&amp;S120))</f>
        <v>مراجعة حالة المخرجات المتأخرة،  الموافقة على رفع لوائح اللجان للمجلس</v>
      </c>
      <c r="Y120" s="50" t="str">
        <f aca="false">IF(T120="",Y119,IF(Y119="",T120,Y119&amp;"،  "&amp;T120))</f>
        <v>تسريع اعتماد مصفوفة الصلاحيات الشاملة،  جدولة جلسة اعتماد لائحة مجلس الإدارة</v>
      </c>
    </row>
    <row r="121" customFormat="false" ht="15" hidden="false" customHeight="false" outlineLevel="0" collapsed="false">
      <c r="Q121" s="50" t="str">
        <f aca="false">IFERROR(IF(INDEX(tblDeliverables[مؤشر الالتزام الزمني],119)="متأخر",INDEX(tblDeliverables[المخرج],119),""),"")</f>
        <v/>
      </c>
      <c r="R121" s="50" t="str">
        <f aca="false">IFERROR(IF(AND(INDEX(tblDeliverables[الأولوية],119)="عالية",INDEX(tblDeliverables[الحالة الحالية],119)&lt;&gt;"معتمد ونافذ",INDEX(tblDeliverables[المخرج],119)&lt;&gt;""),INDEX(tblDeliverables[المخرج],119),""),"")</f>
        <v/>
      </c>
      <c r="S121" s="50" t="str">
        <f aca="false">IFERROR(IF(INDEX(tblMeetings[الحالة],119)="مفتوح",INDEX(tblMeetings[أهم القرارات],119),""),"")</f>
        <v/>
      </c>
      <c r="T121" s="50" t="str">
        <f aca="false">IFERROR(IF(AND(INDEX(tblMeetings[تاريخ الاستحقاق],119)&lt;&gt;"",INDEX(tblMeetings[تاريخ الاستحقاق],119)&gt;=TODAY(),INDEX(tblMeetings[تاريخ الاستحقاق],119)&lt;=TODAY()+14,INDEX(tblMeetings[الحالة],119)&lt;&gt;"مغلق"),INDEX(tblMeetings[الإجراءات المطلوبة],119),""),"")</f>
        <v/>
      </c>
      <c r="V121" s="50" t="str">
        <f aca="false">IF(Q121="",V120,IF(V120="",Q121,V120&amp;"،  "&amp;Q121))</f>
        <v>مصفوفة الصلاحيات الشاملة</v>
      </c>
      <c r="W121" s="50" t="str">
        <f aca="false">IF(R121="",W120,IF(W120="",R121,W120&amp;"،  "&amp;R121))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1" s="50" t="str">
        <f aca="false">IF(S121="",X120,IF(X120="",S121,X120&amp;"،  "&amp;S121))</f>
        <v>مراجعة حالة المخرجات المتأخرة،  الموافقة على رفع لوائح اللجان للمجلس</v>
      </c>
      <c r="Y121" s="50" t="str">
        <f aca="false">IF(T121="",Y120,IF(Y120="",T121,Y120&amp;"،  "&amp;T121))</f>
        <v>تسريع اعتماد مصفوفة الصلاحيات الشاملة،  جدولة جلسة اعتماد لائحة مجلس الإدارة</v>
      </c>
    </row>
    <row r="122" customFormat="false" ht="15" hidden="false" customHeight="false" outlineLevel="0" collapsed="false">
      <c r="Q122" s="50" t="str">
        <f aca="false">IFERROR(IF(INDEX(tblDeliverables[مؤشر الالتزام الزمني],120)="متأخر",INDEX(tblDeliverables[المخرج],120),""),"")</f>
        <v/>
      </c>
      <c r="R122" s="50" t="str">
        <f aca="false">IFERROR(IF(AND(INDEX(tblDeliverables[الأولوية],120)="عالية",INDEX(tblDeliverables[الحالة الحالية],120)&lt;&gt;"معتمد ونافذ",INDEX(tblDeliverables[المخرج],120)&lt;&gt;""),INDEX(tblDeliverables[المخرج],120),""),"")</f>
        <v/>
      </c>
      <c r="S122" s="50" t="str">
        <f aca="false">IFERROR(IF(INDEX(tblMeetings[الحالة],120)="مفتوح",INDEX(tblMeetings[أهم القرارات],120),""),"")</f>
        <v/>
      </c>
      <c r="T122" s="50" t="str">
        <f aca="false">IFERROR(IF(AND(INDEX(tblMeetings[تاريخ الاستحقاق],120)&lt;&gt;"",INDEX(tblMeetings[تاريخ الاستحقاق],120)&gt;=TODAY(),INDEX(tblMeetings[تاريخ الاستحقاق],120)&lt;=TODAY()+14,INDEX(tblMeetings[الحالة],120)&lt;&gt;"مغلق"),INDEX(tblMeetings[الإجراءات المطلوبة],120),""),"")</f>
        <v/>
      </c>
      <c r="V122" s="50" t="str">
        <f aca="false">IF(Q122="",V121,IF(V121="",Q122,V121&amp;"،  "&amp;Q122))</f>
        <v>مصفوفة الصلاحيات الشاملة</v>
      </c>
      <c r="W122" s="50" t="str">
        <f aca="false">IF(R122="",W121,IF(W121="",R122,W121&amp;"،  "&amp;R122))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2" s="50" t="str">
        <f aca="false">IF(S122="",X121,IF(X121="",S122,X121&amp;"،  "&amp;S122))</f>
        <v>مراجعة حالة المخرجات المتأخرة،  الموافقة على رفع لوائح اللجان للمجلس</v>
      </c>
      <c r="Y122" s="50" t="str">
        <f aca="false">IF(T122="",Y121,IF(Y121="",T122,Y121&amp;"،  "&amp;T122))</f>
        <v>تسريع اعتماد مصفوفة الصلاحيات الشاملة،  جدولة جلسة اعتماد لائحة مجلس الإدارة</v>
      </c>
    </row>
    <row r="123" customFormat="false" ht="15" hidden="false" customHeight="false" outlineLevel="0" collapsed="false">
      <c r="Q123" s="50" t="str">
        <f aca="false">IFERROR(IF(INDEX(tblDeliverables[مؤشر الالتزام الزمني],121)="متأخر",INDEX(tblDeliverables[المخرج],121),""),"")</f>
        <v/>
      </c>
      <c r="R123" s="50" t="str">
        <f aca="false">IFERROR(IF(AND(INDEX(tblDeliverables[الأولوية],121)="عالية",INDEX(tblDeliverables[الحالة الحالية],121)&lt;&gt;"معتمد ونافذ",INDEX(tblDeliverables[المخرج],121)&lt;&gt;""),INDEX(tblDeliverables[المخرج],121),""),"")</f>
        <v/>
      </c>
      <c r="S123" s="50" t="str">
        <f aca="false">IFERROR(IF(INDEX(tblMeetings[الحالة],121)="مفتوح",INDEX(tblMeetings[أهم القرارات],121),""),"")</f>
        <v/>
      </c>
      <c r="T123" s="50" t="str">
        <f aca="false">IFERROR(IF(AND(INDEX(tblMeetings[تاريخ الاستحقاق],121)&lt;&gt;"",INDEX(tblMeetings[تاريخ الاستحقاق],121)&gt;=TODAY(),INDEX(tblMeetings[تاريخ الاستحقاق],121)&lt;=TODAY()+14,INDEX(tblMeetings[الحالة],121)&lt;&gt;"مغلق"),INDEX(tblMeetings[الإجراءات المطلوبة],121),""),"")</f>
        <v/>
      </c>
      <c r="V123" s="50" t="str">
        <f aca="false">IF(Q123="",V122,IF(V122="",Q123,V122&amp;"،  "&amp;Q123))</f>
        <v>مصفوفة الصلاحيات الشاملة</v>
      </c>
      <c r="W123" s="50" t="str">
        <f aca="false">IF(R123="",W122,IF(W122="",R123,W122&amp;"،  "&amp;R123))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3" s="50" t="str">
        <f aca="false">IF(S123="",X122,IF(X122="",S123,X122&amp;"،  "&amp;S123))</f>
        <v>مراجعة حالة المخرجات المتأخرة،  الموافقة على رفع لوائح اللجان للمجلس</v>
      </c>
      <c r="Y123" s="50" t="str">
        <f aca="false">IF(T123="",Y122,IF(Y122="",T123,Y122&amp;"،  "&amp;T123))</f>
        <v>تسريع اعتماد مصفوفة الصلاحيات الشاملة،  جدولة جلسة اعتماد لائحة مجلس الإدارة</v>
      </c>
    </row>
    <row r="124" customFormat="false" ht="15" hidden="false" customHeight="false" outlineLevel="0" collapsed="false">
      <c r="Q124" s="50" t="str">
        <f aca="false">IFERROR(IF(INDEX(tblDeliverables[مؤشر الالتزام الزمني],122)="متأخر",INDEX(tblDeliverables[المخرج],122),""),"")</f>
        <v/>
      </c>
      <c r="R124" s="50" t="str">
        <f aca="false">IFERROR(IF(AND(INDEX(tblDeliverables[الأولوية],122)="عالية",INDEX(tblDeliverables[الحالة الحالية],122)&lt;&gt;"معتمد ونافذ",INDEX(tblDeliverables[المخرج],122)&lt;&gt;""),INDEX(tblDeliverables[المخرج],122),""),"")</f>
        <v/>
      </c>
      <c r="S124" s="50" t="str">
        <f aca="false">IFERROR(IF(INDEX(tblMeetings[الحالة],122)="مفتوح",INDEX(tblMeetings[أهم القرارات],122),""),"")</f>
        <v/>
      </c>
      <c r="T124" s="50" t="str">
        <f aca="false">IFERROR(IF(AND(INDEX(tblMeetings[تاريخ الاستحقاق],122)&lt;&gt;"",INDEX(tblMeetings[تاريخ الاستحقاق],122)&gt;=TODAY(),INDEX(tblMeetings[تاريخ الاستحقاق],122)&lt;=TODAY()+14,INDEX(tblMeetings[الحالة],122)&lt;&gt;"مغلق"),INDEX(tblMeetings[الإجراءات المطلوبة],122),""),"")</f>
        <v/>
      </c>
      <c r="V124" s="50" t="str">
        <f aca="false">IF(Q124="",V123,IF(V123="",Q124,V123&amp;"،  "&amp;Q124))</f>
        <v>مصفوفة الصلاحيات الشاملة</v>
      </c>
      <c r="W124" s="50" t="str">
        <f aca="false">IF(R124="",W123,IF(W123="",R124,W123&amp;"،  "&amp;R124))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4" s="50" t="str">
        <f aca="false">IF(S124="",X123,IF(X123="",S124,X123&amp;"،  "&amp;S124))</f>
        <v>مراجعة حالة المخرجات المتأخرة،  الموافقة على رفع لوائح اللجان للمجلس</v>
      </c>
      <c r="Y124" s="50" t="str">
        <f aca="false">IF(T124="",Y123,IF(Y123="",T124,Y123&amp;"،  "&amp;T124))</f>
        <v>تسريع اعتماد مصفوفة الصلاحيات الشاملة،  جدولة جلسة اعتماد لائحة مجلس الإدارة</v>
      </c>
    </row>
    <row r="125" customFormat="false" ht="15" hidden="false" customHeight="false" outlineLevel="0" collapsed="false">
      <c r="Q125" s="50" t="str">
        <f aca="false">IFERROR(IF(INDEX(tblDeliverables[مؤشر الالتزام الزمني],123)="متأخر",INDEX(tblDeliverables[المخرج],123),""),"")</f>
        <v/>
      </c>
      <c r="R125" s="50" t="str">
        <f aca="false">IFERROR(IF(AND(INDEX(tblDeliverables[الأولوية],123)="عالية",INDEX(tblDeliverables[الحالة الحالية],123)&lt;&gt;"معتمد ونافذ",INDEX(tblDeliverables[المخرج],123)&lt;&gt;""),INDEX(tblDeliverables[المخرج],123),""),"")</f>
        <v/>
      </c>
      <c r="S125" s="50" t="str">
        <f aca="false">IFERROR(IF(INDEX(tblMeetings[الحالة],123)="مفتوح",INDEX(tblMeetings[أهم القرارات],123),""),"")</f>
        <v/>
      </c>
      <c r="T125" s="50" t="str">
        <f aca="false">IFERROR(IF(AND(INDEX(tblMeetings[تاريخ الاستحقاق],123)&lt;&gt;"",INDEX(tblMeetings[تاريخ الاستحقاق],123)&gt;=TODAY(),INDEX(tblMeetings[تاريخ الاستحقاق],123)&lt;=TODAY()+14,INDEX(tblMeetings[الحالة],123)&lt;&gt;"مغلق"),INDEX(tblMeetings[الإجراءات المطلوبة],123),""),"")</f>
        <v/>
      </c>
      <c r="V125" s="50" t="str">
        <f aca="false">IF(Q125="",V124,IF(V124="",Q125,V124&amp;"،  "&amp;Q125))</f>
        <v>مصفوفة الصلاحيات الشاملة</v>
      </c>
      <c r="W125" s="50" t="str">
        <f aca="false">IF(R125="",W124,IF(W124="",R125,W124&amp;"،  "&amp;R125))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5" s="50" t="str">
        <f aca="false">IF(S125="",X124,IF(X124="",S125,X124&amp;"،  "&amp;S125))</f>
        <v>مراجعة حالة المخرجات المتأخرة،  الموافقة على رفع لوائح اللجان للمجلس</v>
      </c>
      <c r="Y125" s="50" t="str">
        <f aca="false">IF(T125="",Y124,IF(Y124="",T125,Y124&amp;"،  "&amp;T125))</f>
        <v>تسريع اعتماد مصفوفة الصلاحيات الشاملة،  جدولة جلسة اعتماد لائحة مجلس الإدارة</v>
      </c>
    </row>
    <row r="126" customFormat="false" ht="15" hidden="false" customHeight="false" outlineLevel="0" collapsed="false">
      <c r="Q126" s="50" t="str">
        <f aca="false">IFERROR(IF(INDEX(tblDeliverables[مؤشر الالتزام الزمني],124)="متأخر",INDEX(tblDeliverables[المخرج],124),""),"")</f>
        <v/>
      </c>
      <c r="R126" s="50" t="str">
        <f aca="false">IFERROR(IF(AND(INDEX(tblDeliverables[الأولوية],124)="عالية",INDEX(tblDeliverables[الحالة الحالية],124)&lt;&gt;"معتمد ونافذ",INDEX(tblDeliverables[المخرج],124)&lt;&gt;""),INDEX(tblDeliverables[المخرج],124),""),"")</f>
        <v/>
      </c>
      <c r="S126" s="50" t="str">
        <f aca="false">IFERROR(IF(INDEX(tblMeetings[الحالة],124)="مفتوح",INDEX(tblMeetings[أهم القرارات],124),""),"")</f>
        <v/>
      </c>
      <c r="T126" s="50" t="str">
        <f aca="false">IFERROR(IF(AND(INDEX(tblMeetings[تاريخ الاستحقاق],124)&lt;&gt;"",INDEX(tblMeetings[تاريخ الاستحقاق],124)&gt;=TODAY(),INDEX(tblMeetings[تاريخ الاستحقاق],124)&lt;=TODAY()+14,INDEX(tblMeetings[الحالة],124)&lt;&gt;"مغلق"),INDEX(tblMeetings[الإجراءات المطلوبة],124),""),"")</f>
        <v/>
      </c>
      <c r="V126" s="50" t="str">
        <f aca="false">IF(Q126="",V125,IF(V125="",Q126,V125&amp;"،  "&amp;Q126))</f>
        <v>مصفوفة الصلاحيات الشاملة</v>
      </c>
      <c r="W126" s="50" t="str">
        <f aca="false">IF(R126="",W125,IF(W125="",R126,W125&amp;"،  "&amp;R126))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6" s="50" t="str">
        <f aca="false">IF(S126="",X125,IF(X125="",S126,X125&amp;"،  "&amp;S126))</f>
        <v>مراجعة حالة المخرجات المتأخرة،  الموافقة على رفع لوائح اللجان للمجلس</v>
      </c>
      <c r="Y126" s="50" t="str">
        <f aca="false">IF(T126="",Y125,IF(Y125="",T126,Y125&amp;"،  "&amp;T126))</f>
        <v>تسريع اعتماد مصفوفة الصلاحيات الشاملة،  جدولة جلسة اعتماد لائحة مجلس الإدارة</v>
      </c>
    </row>
    <row r="127" customFormat="false" ht="15" hidden="false" customHeight="false" outlineLevel="0" collapsed="false">
      <c r="Q127" s="50" t="str">
        <f aca="false">IFERROR(IF(INDEX(tblDeliverables[مؤشر الالتزام الزمني],125)="متأخر",INDEX(tblDeliverables[المخرج],125),""),"")</f>
        <v/>
      </c>
      <c r="R127" s="50" t="str">
        <f aca="false">IFERROR(IF(AND(INDEX(tblDeliverables[الأولوية],125)="عالية",INDEX(tblDeliverables[الحالة الحالية],125)&lt;&gt;"معتمد ونافذ",INDEX(tblDeliverables[المخرج],125)&lt;&gt;""),INDEX(tblDeliverables[المخرج],125),""),"")</f>
        <v/>
      </c>
      <c r="S127" s="50" t="str">
        <f aca="false">IFERROR(IF(INDEX(tblMeetings[الحالة],125)="مفتوح",INDEX(tblMeetings[أهم القرارات],125),""),"")</f>
        <v/>
      </c>
      <c r="T127" s="50" t="str">
        <f aca="false">IFERROR(IF(AND(INDEX(tblMeetings[تاريخ الاستحقاق],125)&lt;&gt;"",INDEX(tblMeetings[تاريخ الاستحقاق],125)&gt;=TODAY(),INDEX(tblMeetings[تاريخ الاستحقاق],125)&lt;=TODAY()+14,INDEX(tblMeetings[الحالة],125)&lt;&gt;"مغلق"),INDEX(tblMeetings[الإجراءات المطلوبة],125),""),"")</f>
        <v/>
      </c>
      <c r="V127" s="50" t="str">
        <f aca="false">IF(Q127="",V126,IF(V126="",Q127,V126&amp;"،  "&amp;Q127))</f>
        <v>مصفوفة الصلاحيات الشاملة</v>
      </c>
      <c r="W127" s="50" t="str">
        <f aca="false">IF(R127="",W126,IF(W126="",R127,W126&amp;"،  "&amp;R127))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7" s="50" t="str">
        <f aca="false">IF(S127="",X126,IF(X126="",S127,X126&amp;"،  "&amp;S127))</f>
        <v>مراجعة حالة المخرجات المتأخرة،  الموافقة على رفع لوائح اللجان للمجلس</v>
      </c>
      <c r="Y127" s="50" t="str">
        <f aca="false">IF(T127="",Y126,IF(Y126="",T127,Y126&amp;"،  "&amp;T127))</f>
        <v>تسريع اعتماد مصفوفة الصلاحيات الشاملة،  جدولة جلسة اعتماد لائحة مجلس الإدارة</v>
      </c>
    </row>
    <row r="128" customFormat="false" ht="15" hidden="false" customHeight="false" outlineLevel="0" collapsed="false">
      <c r="Q128" s="50" t="str">
        <f aca="false">IFERROR(IF(INDEX(tblDeliverables[مؤشر الالتزام الزمني],126)="متأخر",INDEX(tblDeliverables[المخرج],126),""),"")</f>
        <v/>
      </c>
      <c r="R128" s="50" t="str">
        <f aca="false">IFERROR(IF(AND(INDEX(tblDeliverables[الأولوية],126)="عالية",INDEX(tblDeliverables[الحالة الحالية],126)&lt;&gt;"معتمد ونافذ",INDEX(tblDeliverables[المخرج],126)&lt;&gt;""),INDEX(tblDeliverables[المخرج],126),""),"")</f>
        <v/>
      </c>
      <c r="S128" s="50" t="str">
        <f aca="false">IFERROR(IF(INDEX(tblMeetings[الحالة],126)="مفتوح",INDEX(tblMeetings[أهم القرارات],126),""),"")</f>
        <v/>
      </c>
      <c r="T128" s="50" t="str">
        <f aca="false">IFERROR(IF(AND(INDEX(tblMeetings[تاريخ الاستحقاق],126)&lt;&gt;"",INDEX(tblMeetings[تاريخ الاستحقاق],126)&gt;=TODAY(),INDEX(tblMeetings[تاريخ الاستحقاق],126)&lt;=TODAY()+14,INDEX(tblMeetings[الحالة],126)&lt;&gt;"مغلق"),INDEX(tblMeetings[الإجراءات المطلوبة],126),""),"")</f>
        <v/>
      </c>
      <c r="V128" s="50" t="str">
        <f aca="false">IF(Q128="",V127,IF(V127="",Q128,V127&amp;"،  "&amp;Q128))</f>
        <v>مصفوفة الصلاحيات الشاملة</v>
      </c>
      <c r="W128" s="50" t="str">
        <f aca="false">IF(R128="",W127,IF(W127="",R128,W127&amp;"،  "&amp;R128))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8" s="50" t="str">
        <f aca="false">IF(S128="",X127,IF(X127="",S128,X127&amp;"،  "&amp;S128))</f>
        <v>مراجعة حالة المخرجات المتأخرة،  الموافقة على رفع لوائح اللجان للمجلس</v>
      </c>
      <c r="Y128" s="50" t="str">
        <f aca="false">IF(T128="",Y127,IF(Y127="",T128,Y127&amp;"،  "&amp;T128))</f>
        <v>تسريع اعتماد مصفوفة الصلاحيات الشاملة،  جدولة جلسة اعتماد لائحة مجلس الإدارة</v>
      </c>
    </row>
    <row r="129" customFormat="false" ht="15" hidden="false" customHeight="false" outlineLevel="0" collapsed="false">
      <c r="Q129" s="50" t="str">
        <f aca="false">IFERROR(IF(INDEX(tblDeliverables[مؤشر الالتزام الزمني],127)="متأخر",INDEX(tblDeliverables[المخرج],127),""),"")</f>
        <v/>
      </c>
      <c r="R129" s="50" t="str">
        <f aca="false">IFERROR(IF(AND(INDEX(tblDeliverables[الأولوية],127)="عالية",INDEX(tblDeliverables[الحالة الحالية],127)&lt;&gt;"معتمد ونافذ",INDEX(tblDeliverables[المخرج],127)&lt;&gt;""),INDEX(tblDeliverables[المخرج],127),""),"")</f>
        <v/>
      </c>
      <c r="S129" s="50" t="str">
        <f aca="false">IFERROR(IF(INDEX(tblMeetings[الحالة],127)="مفتوح",INDEX(tblMeetings[أهم القرارات],127),""),"")</f>
        <v/>
      </c>
      <c r="T129" s="50" t="str">
        <f aca="false">IFERROR(IF(AND(INDEX(tblMeetings[تاريخ الاستحقاق],127)&lt;&gt;"",INDEX(tblMeetings[تاريخ الاستحقاق],127)&gt;=TODAY(),INDEX(tblMeetings[تاريخ الاستحقاق],127)&lt;=TODAY()+14,INDEX(tblMeetings[الحالة],127)&lt;&gt;"مغلق"),INDEX(tblMeetings[الإجراءات المطلوبة],127),""),"")</f>
        <v/>
      </c>
      <c r="V129" s="50" t="str">
        <f aca="false">IF(Q129="",V128,IF(V128="",Q129,V128&amp;"،  "&amp;Q129))</f>
        <v>مصفوفة الصلاحيات الشاملة</v>
      </c>
      <c r="W129" s="50" t="str">
        <f aca="false">IF(R129="",W128,IF(W128="",R129,W128&amp;"،  "&amp;R129))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29" s="50" t="str">
        <f aca="false">IF(S129="",X128,IF(X128="",S129,X128&amp;"،  "&amp;S129))</f>
        <v>مراجعة حالة المخرجات المتأخرة،  الموافقة على رفع لوائح اللجان للمجلس</v>
      </c>
      <c r="Y129" s="50" t="str">
        <f aca="false">IF(T129="",Y128,IF(Y128="",T129,Y128&amp;"،  "&amp;T129))</f>
        <v>تسريع اعتماد مصفوفة الصلاحيات الشاملة،  جدولة جلسة اعتماد لائحة مجلس الإدارة</v>
      </c>
    </row>
    <row r="130" customFormat="false" ht="15" hidden="false" customHeight="false" outlineLevel="0" collapsed="false">
      <c r="Q130" s="50" t="str">
        <f aca="false">IFERROR(IF(INDEX(tblDeliverables[مؤشر الالتزام الزمني],128)="متأخر",INDEX(tblDeliverables[المخرج],128),""),"")</f>
        <v/>
      </c>
      <c r="R130" s="50" t="str">
        <f aca="false">IFERROR(IF(AND(INDEX(tblDeliverables[الأولوية],128)="عالية",INDEX(tblDeliverables[الحالة الحالية],128)&lt;&gt;"معتمد ونافذ",INDEX(tblDeliverables[المخرج],128)&lt;&gt;""),INDEX(tblDeliverables[المخرج],128),""),"")</f>
        <v/>
      </c>
      <c r="S130" s="50" t="str">
        <f aca="false">IFERROR(IF(INDEX(tblMeetings[الحالة],128)="مفتوح",INDEX(tblMeetings[أهم القرارات],128),""),"")</f>
        <v/>
      </c>
      <c r="T130" s="50" t="str">
        <f aca="false">IFERROR(IF(AND(INDEX(tblMeetings[تاريخ الاستحقاق],128)&lt;&gt;"",INDEX(tblMeetings[تاريخ الاستحقاق],128)&gt;=TODAY(),INDEX(tblMeetings[تاريخ الاستحقاق],128)&lt;=TODAY()+14,INDEX(tblMeetings[الحالة],128)&lt;&gt;"مغلق"),INDEX(tblMeetings[الإجراءات المطلوبة],128),""),"")</f>
        <v/>
      </c>
      <c r="V130" s="50" t="str">
        <f aca="false">IF(Q130="",V129,IF(V129="",Q130,V129&amp;"،  "&amp;Q130))</f>
        <v>مصفوفة الصلاحيات الشاملة</v>
      </c>
      <c r="W130" s="50" t="str">
        <f aca="false">IF(R130="",W129,IF(W129="",R130,W129&amp;"،  "&amp;R130))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0" s="50" t="str">
        <f aca="false">IF(S130="",X129,IF(X129="",S130,X129&amp;"،  "&amp;S130))</f>
        <v>مراجعة حالة المخرجات المتأخرة،  الموافقة على رفع لوائح اللجان للمجلس</v>
      </c>
      <c r="Y130" s="50" t="str">
        <f aca="false">IF(T130="",Y129,IF(Y129="",T130,Y129&amp;"،  "&amp;T130))</f>
        <v>تسريع اعتماد مصفوفة الصلاحيات الشاملة،  جدولة جلسة اعتماد لائحة مجلس الإدارة</v>
      </c>
    </row>
    <row r="131" customFormat="false" ht="15" hidden="false" customHeight="false" outlineLevel="0" collapsed="false">
      <c r="Q131" s="50" t="str">
        <f aca="false">IFERROR(IF(INDEX(tblDeliverables[مؤشر الالتزام الزمني],129)="متأخر",INDEX(tblDeliverables[المخرج],129),""),"")</f>
        <v/>
      </c>
      <c r="R131" s="50" t="str">
        <f aca="false">IFERROR(IF(AND(INDEX(tblDeliverables[الأولوية],129)="عالية",INDEX(tblDeliverables[الحالة الحالية],129)&lt;&gt;"معتمد ونافذ",INDEX(tblDeliverables[المخرج],129)&lt;&gt;""),INDEX(tblDeliverables[المخرج],129),""),"")</f>
        <v/>
      </c>
      <c r="S131" s="50" t="str">
        <f aca="false">IFERROR(IF(INDEX(tblMeetings[الحالة],129)="مفتوح",INDEX(tblMeetings[أهم القرارات],129),""),"")</f>
        <v/>
      </c>
      <c r="T131" s="50" t="str">
        <f aca="false">IFERROR(IF(AND(INDEX(tblMeetings[تاريخ الاستحقاق],129)&lt;&gt;"",INDEX(tblMeetings[تاريخ الاستحقاق],129)&gt;=TODAY(),INDEX(tblMeetings[تاريخ الاستحقاق],129)&lt;=TODAY()+14,INDEX(tblMeetings[الحالة],129)&lt;&gt;"مغلق"),INDEX(tblMeetings[الإجراءات المطلوبة],129),""),"")</f>
        <v/>
      </c>
      <c r="V131" s="50" t="str">
        <f aca="false">IF(Q131="",V130,IF(V130="",Q131,V130&amp;"،  "&amp;Q131))</f>
        <v>مصفوفة الصلاحيات الشاملة</v>
      </c>
      <c r="W131" s="50" t="str">
        <f aca="false">IF(R131="",W130,IF(W130="",R131,W130&amp;"،  "&amp;R131))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1" s="50" t="str">
        <f aca="false">IF(S131="",X130,IF(X130="",S131,X130&amp;"،  "&amp;S131))</f>
        <v>مراجعة حالة المخرجات المتأخرة،  الموافقة على رفع لوائح اللجان للمجلس</v>
      </c>
      <c r="Y131" s="50" t="str">
        <f aca="false">IF(T131="",Y130,IF(Y130="",T131,Y130&amp;"،  "&amp;T131))</f>
        <v>تسريع اعتماد مصفوفة الصلاحيات الشاملة،  جدولة جلسة اعتماد لائحة مجلس الإدارة</v>
      </c>
    </row>
    <row r="132" customFormat="false" ht="15" hidden="false" customHeight="false" outlineLevel="0" collapsed="false">
      <c r="Q132" s="50" t="str">
        <f aca="false">IFERROR(IF(INDEX(tblDeliverables[مؤشر الالتزام الزمني],130)="متأخر",INDEX(tblDeliverables[المخرج],130),""),"")</f>
        <v/>
      </c>
      <c r="R132" s="50" t="str">
        <f aca="false">IFERROR(IF(AND(INDEX(tblDeliverables[الأولوية],130)="عالية",INDEX(tblDeliverables[الحالة الحالية],130)&lt;&gt;"معتمد ونافذ",INDEX(tblDeliverables[المخرج],130)&lt;&gt;""),INDEX(tblDeliverables[المخرج],130),""),"")</f>
        <v/>
      </c>
      <c r="S132" s="50" t="str">
        <f aca="false">IFERROR(IF(INDEX(tblMeetings[الحالة],130)="مفتوح",INDEX(tblMeetings[أهم القرارات],130),""),"")</f>
        <v/>
      </c>
      <c r="T132" s="50" t="str">
        <f aca="false">IFERROR(IF(AND(INDEX(tblMeetings[تاريخ الاستحقاق],130)&lt;&gt;"",INDEX(tblMeetings[تاريخ الاستحقاق],130)&gt;=TODAY(),INDEX(tblMeetings[تاريخ الاستحقاق],130)&lt;=TODAY()+14,INDEX(tblMeetings[الحالة],130)&lt;&gt;"مغلق"),INDEX(tblMeetings[الإجراءات المطلوبة],130),""),"")</f>
        <v/>
      </c>
      <c r="V132" s="50" t="str">
        <f aca="false">IF(Q132="",V131,IF(V131="",Q132,V131&amp;"،  "&amp;Q132))</f>
        <v>مصفوفة الصلاحيات الشاملة</v>
      </c>
      <c r="W132" s="50" t="str">
        <f aca="false">IF(R132="",W131,IF(W131="",R132,W131&amp;"،  "&amp;R132))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2" s="50" t="str">
        <f aca="false">IF(S132="",X131,IF(X131="",S132,X131&amp;"،  "&amp;S132))</f>
        <v>مراجعة حالة المخرجات المتأخرة،  الموافقة على رفع لوائح اللجان للمجلس</v>
      </c>
      <c r="Y132" s="50" t="str">
        <f aca="false">IF(T132="",Y131,IF(Y131="",T132,Y131&amp;"،  "&amp;T132))</f>
        <v>تسريع اعتماد مصفوفة الصلاحيات الشاملة،  جدولة جلسة اعتماد لائحة مجلس الإدارة</v>
      </c>
    </row>
    <row r="133" customFormat="false" ht="15" hidden="false" customHeight="false" outlineLevel="0" collapsed="false">
      <c r="Q133" s="50" t="str">
        <f aca="false">IFERROR(IF(INDEX(tblDeliverables[مؤشر الالتزام الزمني],131)="متأخر",INDEX(tblDeliverables[المخرج],131),""),"")</f>
        <v/>
      </c>
      <c r="R133" s="50" t="str">
        <f aca="false">IFERROR(IF(AND(INDEX(tblDeliverables[الأولوية],131)="عالية",INDEX(tblDeliverables[الحالة الحالية],131)&lt;&gt;"معتمد ونافذ",INDEX(tblDeliverables[المخرج],131)&lt;&gt;""),INDEX(tblDeliverables[المخرج],131),""),"")</f>
        <v/>
      </c>
      <c r="S133" s="50" t="str">
        <f aca="false">IFERROR(IF(INDEX(tblMeetings[الحالة],131)="مفتوح",INDEX(tblMeetings[أهم القرارات],131),""),"")</f>
        <v/>
      </c>
      <c r="T133" s="50" t="str">
        <f aca="false">IFERROR(IF(AND(INDEX(tblMeetings[تاريخ الاستحقاق],131)&lt;&gt;"",INDEX(tblMeetings[تاريخ الاستحقاق],131)&gt;=TODAY(),INDEX(tblMeetings[تاريخ الاستحقاق],131)&lt;=TODAY()+14,INDEX(tblMeetings[الحالة],131)&lt;&gt;"مغلق"),INDEX(tblMeetings[الإجراءات المطلوبة],131),""),"")</f>
        <v/>
      </c>
      <c r="V133" s="50" t="str">
        <f aca="false">IF(Q133="",V132,IF(V132="",Q133,V132&amp;"،  "&amp;Q133))</f>
        <v>مصفوفة الصلاحيات الشاملة</v>
      </c>
      <c r="W133" s="50" t="str">
        <f aca="false">IF(R133="",W132,IF(W132="",R133,W132&amp;"،  "&amp;R133))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3" s="50" t="str">
        <f aca="false">IF(S133="",X132,IF(X132="",S133,X132&amp;"،  "&amp;S133))</f>
        <v>مراجعة حالة المخرجات المتأخرة،  الموافقة على رفع لوائح اللجان للمجلس</v>
      </c>
      <c r="Y133" s="50" t="str">
        <f aca="false">IF(T133="",Y132,IF(Y132="",T133,Y132&amp;"،  "&amp;T133))</f>
        <v>تسريع اعتماد مصفوفة الصلاحيات الشاملة،  جدولة جلسة اعتماد لائحة مجلس الإدارة</v>
      </c>
    </row>
    <row r="134" customFormat="false" ht="15" hidden="false" customHeight="false" outlineLevel="0" collapsed="false">
      <c r="Q134" s="50" t="str">
        <f aca="false">IFERROR(IF(INDEX(tblDeliverables[مؤشر الالتزام الزمني],132)="متأخر",INDEX(tblDeliverables[المخرج],132),""),"")</f>
        <v/>
      </c>
      <c r="R134" s="50" t="str">
        <f aca="false">IFERROR(IF(AND(INDEX(tblDeliverables[الأولوية],132)="عالية",INDEX(tblDeliverables[الحالة الحالية],132)&lt;&gt;"معتمد ونافذ",INDEX(tblDeliverables[المخرج],132)&lt;&gt;""),INDEX(tblDeliverables[المخرج],132),""),"")</f>
        <v/>
      </c>
      <c r="S134" s="50" t="str">
        <f aca="false">IFERROR(IF(INDEX(tblMeetings[الحالة],132)="مفتوح",INDEX(tblMeetings[أهم القرارات],132),""),"")</f>
        <v/>
      </c>
      <c r="T134" s="50" t="str">
        <f aca="false">IFERROR(IF(AND(INDEX(tblMeetings[تاريخ الاستحقاق],132)&lt;&gt;"",INDEX(tblMeetings[تاريخ الاستحقاق],132)&gt;=TODAY(),INDEX(tblMeetings[تاريخ الاستحقاق],132)&lt;=TODAY()+14,INDEX(tblMeetings[الحالة],132)&lt;&gt;"مغلق"),INDEX(tblMeetings[الإجراءات المطلوبة],132),""),"")</f>
        <v/>
      </c>
      <c r="V134" s="50" t="str">
        <f aca="false">IF(Q134="",V133,IF(V133="",Q134,V133&amp;"،  "&amp;Q134))</f>
        <v>مصفوفة الصلاحيات الشاملة</v>
      </c>
      <c r="W134" s="50" t="str">
        <f aca="false">IF(R134="",W133,IF(W133="",R134,W133&amp;"،  "&amp;R134))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4" s="50" t="str">
        <f aca="false">IF(S134="",X133,IF(X133="",S134,X133&amp;"،  "&amp;S134))</f>
        <v>مراجعة حالة المخرجات المتأخرة،  الموافقة على رفع لوائح اللجان للمجلس</v>
      </c>
      <c r="Y134" s="50" t="str">
        <f aca="false">IF(T134="",Y133,IF(Y133="",T134,Y133&amp;"،  "&amp;T134))</f>
        <v>تسريع اعتماد مصفوفة الصلاحيات الشاملة،  جدولة جلسة اعتماد لائحة مجلس الإدارة</v>
      </c>
    </row>
    <row r="135" customFormat="false" ht="15" hidden="false" customHeight="false" outlineLevel="0" collapsed="false">
      <c r="Q135" s="50" t="str">
        <f aca="false">IFERROR(IF(INDEX(tblDeliverables[مؤشر الالتزام الزمني],133)="متأخر",INDEX(tblDeliverables[المخرج],133),""),"")</f>
        <v/>
      </c>
      <c r="R135" s="50" t="str">
        <f aca="false">IFERROR(IF(AND(INDEX(tblDeliverables[الأولوية],133)="عالية",INDEX(tblDeliverables[الحالة الحالية],133)&lt;&gt;"معتمد ونافذ",INDEX(tblDeliverables[المخرج],133)&lt;&gt;""),INDEX(tblDeliverables[المخرج],133),""),"")</f>
        <v/>
      </c>
      <c r="S135" s="50" t="str">
        <f aca="false">IFERROR(IF(INDEX(tblMeetings[الحالة],133)="مفتوح",INDEX(tblMeetings[أهم القرارات],133),""),"")</f>
        <v/>
      </c>
      <c r="T135" s="50" t="str">
        <f aca="false">IFERROR(IF(AND(INDEX(tblMeetings[تاريخ الاستحقاق],133)&lt;&gt;"",INDEX(tblMeetings[تاريخ الاستحقاق],133)&gt;=TODAY(),INDEX(tblMeetings[تاريخ الاستحقاق],133)&lt;=TODAY()+14,INDEX(tblMeetings[الحالة],133)&lt;&gt;"مغلق"),INDEX(tblMeetings[الإجراءات المطلوبة],133),""),"")</f>
        <v/>
      </c>
      <c r="V135" s="50" t="str">
        <f aca="false">IF(Q135="",V134,IF(V134="",Q135,V134&amp;"،  "&amp;Q135))</f>
        <v>مصفوفة الصلاحيات الشاملة</v>
      </c>
      <c r="W135" s="50" t="str">
        <f aca="false">IF(R135="",W134,IF(W134="",R135,W134&amp;"،  "&amp;R135))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5" s="50" t="str">
        <f aca="false">IF(S135="",X134,IF(X134="",S135,X134&amp;"،  "&amp;S135))</f>
        <v>مراجعة حالة المخرجات المتأخرة،  الموافقة على رفع لوائح اللجان للمجلس</v>
      </c>
      <c r="Y135" s="50" t="str">
        <f aca="false">IF(T135="",Y134,IF(Y134="",T135,Y134&amp;"،  "&amp;T135))</f>
        <v>تسريع اعتماد مصفوفة الصلاحيات الشاملة،  جدولة جلسة اعتماد لائحة مجلس الإدارة</v>
      </c>
    </row>
    <row r="136" customFormat="false" ht="15" hidden="false" customHeight="false" outlineLevel="0" collapsed="false">
      <c r="Q136" s="50" t="str">
        <f aca="false">IFERROR(IF(INDEX(tblDeliverables[مؤشر الالتزام الزمني],134)="متأخر",INDEX(tblDeliverables[المخرج],134),""),"")</f>
        <v/>
      </c>
      <c r="R136" s="50" t="str">
        <f aca="false">IFERROR(IF(AND(INDEX(tblDeliverables[الأولوية],134)="عالية",INDEX(tblDeliverables[الحالة الحالية],134)&lt;&gt;"معتمد ونافذ",INDEX(tblDeliverables[المخرج],134)&lt;&gt;""),INDEX(tblDeliverables[المخرج],134),""),"")</f>
        <v/>
      </c>
      <c r="S136" s="50" t="str">
        <f aca="false">IFERROR(IF(INDEX(tblMeetings[الحالة],134)="مفتوح",INDEX(tblMeetings[أهم القرارات],134),""),"")</f>
        <v/>
      </c>
      <c r="T136" s="50" t="str">
        <f aca="false">IFERROR(IF(AND(INDEX(tblMeetings[تاريخ الاستحقاق],134)&lt;&gt;"",INDEX(tblMeetings[تاريخ الاستحقاق],134)&gt;=TODAY(),INDEX(tblMeetings[تاريخ الاستحقاق],134)&lt;=TODAY()+14,INDEX(tblMeetings[الحالة],134)&lt;&gt;"مغلق"),INDEX(tblMeetings[الإجراءات المطلوبة],134),""),"")</f>
        <v/>
      </c>
      <c r="V136" s="50" t="str">
        <f aca="false">IF(Q136="",V135,IF(V135="",Q136,V135&amp;"،  "&amp;Q136))</f>
        <v>مصفوفة الصلاحيات الشاملة</v>
      </c>
      <c r="W136" s="50" t="str">
        <f aca="false">IF(R136="",W135,IF(W135="",R136,W135&amp;"،  "&amp;R136))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6" s="50" t="str">
        <f aca="false">IF(S136="",X135,IF(X135="",S136,X135&amp;"،  "&amp;S136))</f>
        <v>مراجعة حالة المخرجات المتأخرة،  الموافقة على رفع لوائح اللجان للمجلس</v>
      </c>
      <c r="Y136" s="50" t="str">
        <f aca="false">IF(T136="",Y135,IF(Y135="",T136,Y135&amp;"،  "&amp;T136))</f>
        <v>تسريع اعتماد مصفوفة الصلاحيات الشاملة،  جدولة جلسة اعتماد لائحة مجلس الإدارة</v>
      </c>
    </row>
    <row r="137" customFormat="false" ht="15" hidden="false" customHeight="false" outlineLevel="0" collapsed="false">
      <c r="Q137" s="50" t="str">
        <f aca="false">IFERROR(IF(INDEX(tblDeliverables[مؤشر الالتزام الزمني],135)="متأخر",INDEX(tblDeliverables[المخرج],135),""),"")</f>
        <v/>
      </c>
      <c r="R137" s="50" t="str">
        <f aca="false">IFERROR(IF(AND(INDEX(tblDeliverables[الأولوية],135)="عالية",INDEX(tblDeliverables[الحالة الحالية],135)&lt;&gt;"معتمد ونافذ",INDEX(tblDeliverables[المخرج],135)&lt;&gt;""),INDEX(tblDeliverables[المخرج],135),""),"")</f>
        <v/>
      </c>
      <c r="S137" s="50" t="str">
        <f aca="false">IFERROR(IF(INDEX(tblMeetings[الحالة],135)="مفتوح",INDEX(tblMeetings[أهم القرارات],135),""),"")</f>
        <v/>
      </c>
      <c r="T137" s="50" t="str">
        <f aca="false">IFERROR(IF(AND(INDEX(tblMeetings[تاريخ الاستحقاق],135)&lt;&gt;"",INDEX(tblMeetings[تاريخ الاستحقاق],135)&gt;=TODAY(),INDEX(tblMeetings[تاريخ الاستحقاق],135)&lt;=TODAY()+14,INDEX(tblMeetings[الحالة],135)&lt;&gt;"مغلق"),INDEX(tblMeetings[الإجراءات المطلوبة],135),""),"")</f>
        <v/>
      </c>
      <c r="V137" s="50" t="str">
        <f aca="false">IF(Q137="",V136,IF(V136="",Q137,V136&amp;"،  "&amp;Q137))</f>
        <v>مصفوفة الصلاحيات الشاملة</v>
      </c>
      <c r="W137" s="50" t="str">
        <f aca="false">IF(R137="",W136,IF(W136="",R137,W136&amp;"،  "&amp;R137))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7" s="50" t="str">
        <f aca="false">IF(S137="",X136,IF(X136="",S137,X136&amp;"،  "&amp;S137))</f>
        <v>مراجعة حالة المخرجات المتأخرة،  الموافقة على رفع لوائح اللجان للمجلس</v>
      </c>
      <c r="Y137" s="50" t="str">
        <f aca="false">IF(T137="",Y136,IF(Y136="",T137,Y136&amp;"،  "&amp;T137))</f>
        <v>تسريع اعتماد مصفوفة الصلاحيات الشاملة،  جدولة جلسة اعتماد لائحة مجلس الإدارة</v>
      </c>
    </row>
    <row r="138" customFormat="false" ht="15" hidden="false" customHeight="false" outlineLevel="0" collapsed="false">
      <c r="Q138" s="50" t="str">
        <f aca="false">IFERROR(IF(INDEX(tblDeliverables[مؤشر الالتزام الزمني],136)="متأخر",INDEX(tblDeliverables[المخرج],136),""),"")</f>
        <v/>
      </c>
      <c r="R138" s="50" t="str">
        <f aca="false">IFERROR(IF(AND(INDEX(tblDeliverables[الأولوية],136)="عالية",INDEX(tblDeliverables[الحالة الحالية],136)&lt;&gt;"معتمد ونافذ",INDEX(tblDeliverables[المخرج],136)&lt;&gt;""),INDEX(tblDeliverables[المخرج],136),""),"")</f>
        <v/>
      </c>
      <c r="S138" s="50" t="str">
        <f aca="false">IFERROR(IF(INDEX(tblMeetings[الحالة],136)="مفتوح",INDEX(tblMeetings[أهم القرارات],136),""),"")</f>
        <v/>
      </c>
      <c r="T138" s="50" t="str">
        <f aca="false">IFERROR(IF(AND(INDEX(tblMeetings[تاريخ الاستحقاق],136)&lt;&gt;"",INDEX(tblMeetings[تاريخ الاستحقاق],136)&gt;=TODAY(),INDEX(tblMeetings[تاريخ الاستحقاق],136)&lt;=TODAY()+14,INDEX(tblMeetings[الحالة],136)&lt;&gt;"مغلق"),INDEX(tblMeetings[الإجراءات المطلوبة],136),""),"")</f>
        <v/>
      </c>
      <c r="V138" s="50" t="str">
        <f aca="false">IF(Q138="",V137,IF(V137="",Q138,V137&amp;"،  "&amp;Q138))</f>
        <v>مصفوفة الصلاحيات الشاملة</v>
      </c>
      <c r="W138" s="50" t="str">
        <f aca="false">IF(R138="",W137,IF(W137="",R138,W137&amp;"،  "&amp;R138))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8" s="50" t="str">
        <f aca="false">IF(S138="",X137,IF(X137="",S138,X137&amp;"،  "&amp;S138))</f>
        <v>مراجعة حالة المخرجات المتأخرة،  الموافقة على رفع لوائح اللجان للمجلس</v>
      </c>
      <c r="Y138" s="50" t="str">
        <f aca="false">IF(T138="",Y137,IF(Y137="",T138,Y137&amp;"،  "&amp;T138))</f>
        <v>تسريع اعتماد مصفوفة الصلاحيات الشاملة،  جدولة جلسة اعتماد لائحة مجلس الإدارة</v>
      </c>
    </row>
    <row r="139" customFormat="false" ht="15" hidden="false" customHeight="false" outlineLevel="0" collapsed="false">
      <c r="Q139" s="50" t="str">
        <f aca="false">IFERROR(IF(INDEX(tblDeliverables[مؤشر الالتزام الزمني],137)="متأخر",INDEX(tblDeliverables[المخرج],137),""),"")</f>
        <v/>
      </c>
      <c r="R139" s="50" t="str">
        <f aca="false">IFERROR(IF(AND(INDEX(tblDeliverables[الأولوية],137)="عالية",INDEX(tblDeliverables[الحالة الحالية],137)&lt;&gt;"معتمد ونافذ",INDEX(tblDeliverables[المخرج],137)&lt;&gt;""),INDEX(tblDeliverables[المخرج],137),""),"")</f>
        <v/>
      </c>
      <c r="S139" s="50" t="str">
        <f aca="false">IFERROR(IF(INDEX(tblMeetings[الحالة],137)="مفتوح",INDEX(tblMeetings[أهم القرارات],137),""),"")</f>
        <v/>
      </c>
      <c r="T139" s="50" t="str">
        <f aca="false">IFERROR(IF(AND(INDEX(tblMeetings[تاريخ الاستحقاق],137)&lt;&gt;"",INDEX(tblMeetings[تاريخ الاستحقاق],137)&gt;=TODAY(),INDEX(tblMeetings[تاريخ الاستحقاق],137)&lt;=TODAY()+14,INDEX(tblMeetings[الحالة],137)&lt;&gt;"مغلق"),INDEX(tblMeetings[الإجراءات المطلوبة],137),""),"")</f>
        <v/>
      </c>
      <c r="V139" s="50" t="str">
        <f aca="false">IF(Q139="",V138,IF(V138="",Q139,V138&amp;"،  "&amp;Q139))</f>
        <v>مصفوفة الصلاحيات الشاملة</v>
      </c>
      <c r="W139" s="50" t="str">
        <f aca="false">IF(R139="",W138,IF(W138="",R139,W138&amp;"،  "&amp;R139))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39" s="50" t="str">
        <f aca="false">IF(S139="",X138,IF(X138="",S139,X138&amp;"،  "&amp;S139))</f>
        <v>مراجعة حالة المخرجات المتأخرة،  الموافقة على رفع لوائح اللجان للمجلس</v>
      </c>
      <c r="Y139" s="50" t="str">
        <f aca="false">IF(T139="",Y138,IF(Y138="",T139,Y138&amp;"،  "&amp;T139))</f>
        <v>تسريع اعتماد مصفوفة الصلاحيات الشاملة،  جدولة جلسة اعتماد لائحة مجلس الإدارة</v>
      </c>
    </row>
    <row r="140" customFormat="false" ht="15" hidden="false" customHeight="false" outlineLevel="0" collapsed="false">
      <c r="Q140" s="50" t="str">
        <f aca="false">IFERROR(IF(INDEX(tblDeliverables[مؤشر الالتزام الزمني],138)="متأخر",INDEX(tblDeliverables[المخرج],138),""),"")</f>
        <v/>
      </c>
      <c r="R140" s="50" t="str">
        <f aca="false">IFERROR(IF(AND(INDEX(tblDeliverables[الأولوية],138)="عالية",INDEX(tblDeliverables[الحالة الحالية],138)&lt;&gt;"معتمد ونافذ",INDEX(tblDeliverables[المخرج],138)&lt;&gt;""),INDEX(tblDeliverables[المخرج],138),""),"")</f>
        <v/>
      </c>
      <c r="S140" s="50" t="str">
        <f aca="false">IFERROR(IF(INDEX(tblMeetings[الحالة],138)="مفتوح",INDEX(tblMeetings[أهم القرارات],138),""),"")</f>
        <v/>
      </c>
      <c r="T140" s="50" t="str">
        <f aca="false">IFERROR(IF(AND(INDEX(tblMeetings[تاريخ الاستحقاق],138)&lt;&gt;"",INDEX(tblMeetings[تاريخ الاستحقاق],138)&gt;=TODAY(),INDEX(tblMeetings[تاريخ الاستحقاق],138)&lt;=TODAY()+14,INDEX(tblMeetings[الحالة],138)&lt;&gt;"مغلق"),INDEX(tblMeetings[الإجراءات المطلوبة],138),""),"")</f>
        <v/>
      </c>
      <c r="V140" s="50" t="str">
        <f aca="false">IF(Q140="",V139,IF(V139="",Q140,V139&amp;"،  "&amp;Q140))</f>
        <v>مصفوفة الصلاحيات الشاملة</v>
      </c>
      <c r="W140" s="50" t="str">
        <f aca="false">IF(R140="",W139,IF(W139="",R140,W139&amp;"،  "&amp;R140))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0" s="50" t="str">
        <f aca="false">IF(S140="",X139,IF(X139="",S140,X139&amp;"،  "&amp;S140))</f>
        <v>مراجعة حالة المخرجات المتأخرة،  الموافقة على رفع لوائح اللجان للمجلس</v>
      </c>
      <c r="Y140" s="50" t="str">
        <f aca="false">IF(T140="",Y139,IF(Y139="",T140,Y139&amp;"،  "&amp;T140))</f>
        <v>تسريع اعتماد مصفوفة الصلاحيات الشاملة،  جدولة جلسة اعتماد لائحة مجلس الإدارة</v>
      </c>
    </row>
    <row r="141" customFormat="false" ht="15" hidden="false" customHeight="false" outlineLevel="0" collapsed="false">
      <c r="Q141" s="50" t="str">
        <f aca="false">IFERROR(IF(INDEX(tblDeliverables[مؤشر الالتزام الزمني],139)="متأخر",INDEX(tblDeliverables[المخرج],139),""),"")</f>
        <v/>
      </c>
      <c r="R141" s="50" t="str">
        <f aca="false">IFERROR(IF(AND(INDEX(tblDeliverables[الأولوية],139)="عالية",INDEX(tblDeliverables[الحالة الحالية],139)&lt;&gt;"معتمد ونافذ",INDEX(tblDeliverables[المخرج],139)&lt;&gt;""),INDEX(tblDeliverables[المخرج],139),""),"")</f>
        <v/>
      </c>
      <c r="S141" s="50" t="str">
        <f aca="false">IFERROR(IF(INDEX(tblMeetings[الحالة],139)="مفتوح",INDEX(tblMeetings[أهم القرارات],139),""),"")</f>
        <v/>
      </c>
      <c r="T141" s="50" t="str">
        <f aca="false">IFERROR(IF(AND(INDEX(tblMeetings[تاريخ الاستحقاق],139)&lt;&gt;"",INDEX(tblMeetings[تاريخ الاستحقاق],139)&gt;=TODAY(),INDEX(tblMeetings[تاريخ الاستحقاق],139)&lt;=TODAY()+14,INDEX(tblMeetings[الحالة],139)&lt;&gt;"مغلق"),INDEX(tblMeetings[الإجراءات المطلوبة],139),""),"")</f>
        <v/>
      </c>
      <c r="V141" s="50" t="str">
        <f aca="false">IF(Q141="",V140,IF(V140="",Q141,V140&amp;"،  "&amp;Q141))</f>
        <v>مصفوفة الصلاحيات الشاملة</v>
      </c>
      <c r="W141" s="50" t="str">
        <f aca="false">IF(R141="",W140,IF(W140="",R141,W140&amp;"،  "&amp;R141))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1" s="50" t="str">
        <f aca="false">IF(S141="",X140,IF(X140="",S141,X140&amp;"،  "&amp;S141))</f>
        <v>مراجعة حالة المخرجات المتأخرة،  الموافقة على رفع لوائح اللجان للمجلس</v>
      </c>
      <c r="Y141" s="50" t="str">
        <f aca="false">IF(T141="",Y140,IF(Y140="",T141,Y140&amp;"،  "&amp;T141))</f>
        <v>تسريع اعتماد مصفوفة الصلاحيات الشاملة،  جدولة جلسة اعتماد لائحة مجلس الإدارة</v>
      </c>
    </row>
    <row r="142" customFormat="false" ht="15" hidden="false" customHeight="false" outlineLevel="0" collapsed="false">
      <c r="Q142" s="50" t="str">
        <f aca="false">IFERROR(IF(INDEX(tblDeliverables[مؤشر الالتزام الزمني],140)="متأخر",INDEX(tblDeliverables[المخرج],140),""),"")</f>
        <v/>
      </c>
      <c r="R142" s="50" t="str">
        <f aca="false">IFERROR(IF(AND(INDEX(tblDeliverables[الأولوية],140)="عالية",INDEX(tblDeliverables[الحالة الحالية],140)&lt;&gt;"معتمد ونافذ",INDEX(tblDeliverables[المخرج],140)&lt;&gt;""),INDEX(tblDeliverables[المخرج],140),""),"")</f>
        <v/>
      </c>
      <c r="S142" s="50" t="str">
        <f aca="false">IFERROR(IF(INDEX(tblMeetings[الحالة],140)="مفتوح",INDEX(tblMeetings[أهم القرارات],140),""),"")</f>
        <v/>
      </c>
      <c r="T142" s="50" t="str">
        <f aca="false">IFERROR(IF(AND(INDEX(tblMeetings[تاريخ الاستحقاق],140)&lt;&gt;"",INDEX(tblMeetings[تاريخ الاستحقاق],140)&gt;=TODAY(),INDEX(tblMeetings[تاريخ الاستحقاق],140)&lt;=TODAY()+14,INDEX(tblMeetings[الحالة],140)&lt;&gt;"مغلق"),INDEX(tblMeetings[الإجراءات المطلوبة],140),""),"")</f>
        <v/>
      </c>
      <c r="V142" s="50" t="str">
        <f aca="false">IF(Q142="",V141,IF(V141="",Q142,V141&amp;"،  "&amp;Q142))</f>
        <v>مصفوفة الصلاحيات الشاملة</v>
      </c>
      <c r="W142" s="50" t="str">
        <f aca="false">IF(R142="",W141,IF(W141="",R142,W141&amp;"،  "&amp;R142))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2" s="50" t="str">
        <f aca="false">IF(S142="",X141,IF(X141="",S142,X141&amp;"،  "&amp;S142))</f>
        <v>مراجعة حالة المخرجات المتأخرة،  الموافقة على رفع لوائح اللجان للمجلس</v>
      </c>
      <c r="Y142" s="50" t="str">
        <f aca="false">IF(T142="",Y141,IF(Y141="",T142,Y141&amp;"،  "&amp;T142))</f>
        <v>تسريع اعتماد مصفوفة الصلاحيات الشاملة،  جدولة جلسة اعتماد لائحة مجلس الإدارة</v>
      </c>
    </row>
    <row r="143" customFormat="false" ht="15" hidden="false" customHeight="false" outlineLevel="0" collapsed="false">
      <c r="Q143" s="50" t="str">
        <f aca="false">IFERROR(IF(INDEX(tblDeliverables[مؤشر الالتزام الزمني],141)="متأخر",INDEX(tblDeliverables[المخرج],141),""),"")</f>
        <v/>
      </c>
      <c r="R143" s="50" t="str">
        <f aca="false">IFERROR(IF(AND(INDEX(tblDeliverables[الأولوية],141)="عالية",INDEX(tblDeliverables[الحالة الحالية],141)&lt;&gt;"معتمد ونافذ",INDEX(tblDeliverables[المخرج],141)&lt;&gt;""),INDEX(tblDeliverables[المخرج],141),""),"")</f>
        <v/>
      </c>
      <c r="S143" s="50" t="str">
        <f aca="false">IFERROR(IF(INDEX(tblMeetings[الحالة],141)="مفتوح",INDEX(tblMeetings[أهم القرارات],141),""),"")</f>
        <v/>
      </c>
      <c r="T143" s="50" t="str">
        <f aca="false">IFERROR(IF(AND(INDEX(tblMeetings[تاريخ الاستحقاق],141)&lt;&gt;"",INDEX(tblMeetings[تاريخ الاستحقاق],141)&gt;=TODAY(),INDEX(tblMeetings[تاريخ الاستحقاق],141)&lt;=TODAY()+14,INDEX(tblMeetings[الحالة],141)&lt;&gt;"مغلق"),INDEX(tblMeetings[الإجراءات المطلوبة],141),""),"")</f>
        <v/>
      </c>
      <c r="V143" s="50" t="str">
        <f aca="false">IF(Q143="",V142,IF(V142="",Q143,V142&amp;"،  "&amp;Q143))</f>
        <v>مصفوفة الصلاحيات الشاملة</v>
      </c>
      <c r="W143" s="50" t="str">
        <f aca="false">IF(R143="",W142,IF(W142="",R143,W142&amp;"،  "&amp;R143))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3" s="50" t="str">
        <f aca="false">IF(S143="",X142,IF(X142="",S143,X142&amp;"،  "&amp;S143))</f>
        <v>مراجعة حالة المخرجات المتأخرة،  الموافقة على رفع لوائح اللجان للمجلس</v>
      </c>
      <c r="Y143" s="50" t="str">
        <f aca="false">IF(T143="",Y142,IF(Y142="",T143,Y142&amp;"،  "&amp;T143))</f>
        <v>تسريع اعتماد مصفوفة الصلاحيات الشاملة،  جدولة جلسة اعتماد لائحة مجلس الإدارة</v>
      </c>
    </row>
    <row r="144" customFormat="false" ht="15" hidden="false" customHeight="false" outlineLevel="0" collapsed="false">
      <c r="Q144" s="50" t="str">
        <f aca="false">IFERROR(IF(INDEX(tblDeliverables[مؤشر الالتزام الزمني],142)="متأخر",INDEX(tblDeliverables[المخرج],142),""),"")</f>
        <v/>
      </c>
      <c r="R144" s="50" t="str">
        <f aca="false">IFERROR(IF(AND(INDEX(tblDeliverables[الأولوية],142)="عالية",INDEX(tblDeliverables[الحالة الحالية],142)&lt;&gt;"معتمد ونافذ",INDEX(tblDeliverables[المخرج],142)&lt;&gt;""),INDEX(tblDeliverables[المخرج],142),""),"")</f>
        <v/>
      </c>
      <c r="S144" s="50" t="str">
        <f aca="false">IFERROR(IF(INDEX(tblMeetings[الحالة],142)="مفتوح",INDEX(tblMeetings[أهم القرارات],142),""),"")</f>
        <v/>
      </c>
      <c r="T144" s="50" t="str">
        <f aca="false">IFERROR(IF(AND(INDEX(tblMeetings[تاريخ الاستحقاق],142)&lt;&gt;"",INDEX(tblMeetings[تاريخ الاستحقاق],142)&gt;=TODAY(),INDEX(tblMeetings[تاريخ الاستحقاق],142)&lt;=TODAY()+14,INDEX(tblMeetings[الحالة],142)&lt;&gt;"مغلق"),INDEX(tblMeetings[الإجراءات المطلوبة],142),""),"")</f>
        <v/>
      </c>
      <c r="V144" s="50" t="str">
        <f aca="false">IF(Q144="",V143,IF(V143="",Q144,V143&amp;"،  "&amp;Q144))</f>
        <v>مصفوفة الصلاحيات الشاملة</v>
      </c>
      <c r="W144" s="50" t="str">
        <f aca="false">IF(R144="",W143,IF(W143="",R144,W143&amp;"،  "&amp;R144))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4" s="50" t="str">
        <f aca="false">IF(S144="",X143,IF(X143="",S144,X143&amp;"،  "&amp;S144))</f>
        <v>مراجعة حالة المخرجات المتأخرة،  الموافقة على رفع لوائح اللجان للمجلس</v>
      </c>
      <c r="Y144" s="50" t="str">
        <f aca="false">IF(T144="",Y143,IF(Y143="",T144,Y143&amp;"،  "&amp;T144))</f>
        <v>تسريع اعتماد مصفوفة الصلاحيات الشاملة،  جدولة جلسة اعتماد لائحة مجلس الإدارة</v>
      </c>
    </row>
    <row r="145" customFormat="false" ht="15" hidden="false" customHeight="false" outlineLevel="0" collapsed="false">
      <c r="Q145" s="50" t="str">
        <f aca="false">IFERROR(IF(INDEX(tblDeliverables[مؤشر الالتزام الزمني],143)="متأخر",INDEX(tblDeliverables[المخرج],143),""),"")</f>
        <v/>
      </c>
      <c r="R145" s="50" t="str">
        <f aca="false">IFERROR(IF(AND(INDEX(tblDeliverables[الأولوية],143)="عالية",INDEX(tblDeliverables[الحالة الحالية],143)&lt;&gt;"معتمد ونافذ",INDEX(tblDeliverables[المخرج],143)&lt;&gt;""),INDEX(tblDeliverables[المخرج],143),""),"")</f>
        <v/>
      </c>
      <c r="S145" s="50" t="str">
        <f aca="false">IFERROR(IF(INDEX(tblMeetings[الحالة],143)="مفتوح",INDEX(tblMeetings[أهم القرارات],143),""),"")</f>
        <v/>
      </c>
      <c r="T145" s="50" t="str">
        <f aca="false">IFERROR(IF(AND(INDEX(tblMeetings[تاريخ الاستحقاق],143)&lt;&gt;"",INDEX(tblMeetings[تاريخ الاستحقاق],143)&gt;=TODAY(),INDEX(tblMeetings[تاريخ الاستحقاق],143)&lt;=TODAY()+14,INDEX(tblMeetings[الحالة],143)&lt;&gt;"مغلق"),INDEX(tblMeetings[الإجراءات المطلوبة],143),""),"")</f>
        <v/>
      </c>
      <c r="V145" s="50" t="str">
        <f aca="false">IF(Q145="",V144,IF(V144="",Q145,V144&amp;"،  "&amp;Q145))</f>
        <v>مصفوفة الصلاحيات الشاملة</v>
      </c>
      <c r="W145" s="50" t="str">
        <f aca="false">IF(R145="",W144,IF(W144="",R145,W144&amp;"،  "&amp;R145))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5" s="50" t="str">
        <f aca="false">IF(S145="",X144,IF(X144="",S145,X144&amp;"،  "&amp;S145))</f>
        <v>مراجعة حالة المخرجات المتأخرة،  الموافقة على رفع لوائح اللجان للمجلس</v>
      </c>
      <c r="Y145" s="50" t="str">
        <f aca="false">IF(T145="",Y144,IF(Y144="",T145,Y144&amp;"،  "&amp;T145))</f>
        <v>تسريع اعتماد مصفوفة الصلاحيات الشاملة،  جدولة جلسة اعتماد لائحة مجلس الإدارة</v>
      </c>
    </row>
    <row r="146" customFormat="false" ht="15" hidden="false" customHeight="false" outlineLevel="0" collapsed="false">
      <c r="Q146" s="50" t="str">
        <f aca="false">IFERROR(IF(INDEX(tblDeliverables[مؤشر الالتزام الزمني],144)="متأخر",INDEX(tblDeliverables[المخرج],144),""),"")</f>
        <v/>
      </c>
      <c r="R146" s="50" t="str">
        <f aca="false">IFERROR(IF(AND(INDEX(tblDeliverables[الأولوية],144)="عالية",INDEX(tblDeliverables[الحالة الحالية],144)&lt;&gt;"معتمد ونافذ",INDEX(tblDeliverables[المخرج],144)&lt;&gt;""),INDEX(tblDeliverables[المخرج],144),""),"")</f>
        <v/>
      </c>
      <c r="S146" s="50" t="str">
        <f aca="false">IFERROR(IF(INDEX(tblMeetings[الحالة],144)="مفتوح",INDEX(tblMeetings[أهم القرارات],144),""),"")</f>
        <v/>
      </c>
      <c r="T146" s="50" t="str">
        <f aca="false">IFERROR(IF(AND(INDEX(tblMeetings[تاريخ الاستحقاق],144)&lt;&gt;"",INDEX(tblMeetings[تاريخ الاستحقاق],144)&gt;=TODAY(),INDEX(tblMeetings[تاريخ الاستحقاق],144)&lt;=TODAY()+14,INDEX(tblMeetings[الحالة],144)&lt;&gt;"مغلق"),INDEX(tblMeetings[الإجراءات المطلوبة],144),""),"")</f>
        <v/>
      </c>
      <c r="V146" s="50" t="str">
        <f aca="false">IF(Q146="",V145,IF(V145="",Q146,V145&amp;"،  "&amp;Q146))</f>
        <v>مصفوفة الصلاحيات الشاملة</v>
      </c>
      <c r="W146" s="50" t="str">
        <f aca="false">IF(R146="",W145,IF(W145="",R146,W145&amp;"،  "&amp;R146))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6" s="50" t="str">
        <f aca="false">IF(S146="",X145,IF(X145="",S146,X145&amp;"،  "&amp;S146))</f>
        <v>مراجعة حالة المخرجات المتأخرة،  الموافقة على رفع لوائح اللجان للمجلس</v>
      </c>
      <c r="Y146" s="50" t="str">
        <f aca="false">IF(T146="",Y145,IF(Y145="",T146,Y145&amp;"،  "&amp;T146))</f>
        <v>تسريع اعتماد مصفوفة الصلاحيات الشاملة،  جدولة جلسة اعتماد لائحة مجلس الإدارة</v>
      </c>
    </row>
    <row r="147" customFormat="false" ht="15" hidden="false" customHeight="false" outlineLevel="0" collapsed="false">
      <c r="Q147" s="50" t="str">
        <f aca="false">IFERROR(IF(INDEX(tblDeliverables[مؤشر الالتزام الزمني],145)="متأخر",INDEX(tblDeliverables[المخرج],145),""),"")</f>
        <v/>
      </c>
      <c r="R147" s="50" t="str">
        <f aca="false">IFERROR(IF(AND(INDEX(tblDeliverables[الأولوية],145)="عالية",INDEX(tblDeliverables[الحالة الحالية],145)&lt;&gt;"معتمد ونافذ",INDEX(tblDeliverables[المخرج],145)&lt;&gt;""),INDEX(tblDeliverables[المخرج],145),""),"")</f>
        <v/>
      </c>
      <c r="S147" s="50" t="str">
        <f aca="false">IFERROR(IF(INDEX(tblMeetings[الحالة],145)="مفتوح",INDEX(tblMeetings[أهم القرارات],145),""),"")</f>
        <v/>
      </c>
      <c r="T147" s="50" t="str">
        <f aca="false">IFERROR(IF(AND(INDEX(tblMeetings[تاريخ الاستحقاق],145)&lt;&gt;"",INDEX(tblMeetings[تاريخ الاستحقاق],145)&gt;=TODAY(),INDEX(tblMeetings[تاريخ الاستحقاق],145)&lt;=TODAY()+14,INDEX(tblMeetings[الحالة],145)&lt;&gt;"مغلق"),INDEX(tblMeetings[الإجراءات المطلوبة],145),""),"")</f>
        <v/>
      </c>
      <c r="V147" s="50" t="str">
        <f aca="false">IF(Q147="",V146,IF(V146="",Q147,V146&amp;"،  "&amp;Q147))</f>
        <v>مصفوفة الصلاحيات الشاملة</v>
      </c>
      <c r="W147" s="50" t="str">
        <f aca="false">IF(R147="",W146,IF(W146="",R147,W146&amp;"،  "&amp;R147))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7" s="50" t="str">
        <f aca="false">IF(S147="",X146,IF(X146="",S147,X146&amp;"،  "&amp;S147))</f>
        <v>مراجعة حالة المخرجات المتأخرة،  الموافقة على رفع لوائح اللجان للمجلس</v>
      </c>
      <c r="Y147" s="50" t="str">
        <f aca="false">IF(T147="",Y146,IF(Y146="",T147,Y146&amp;"،  "&amp;T147))</f>
        <v>تسريع اعتماد مصفوفة الصلاحيات الشاملة،  جدولة جلسة اعتماد لائحة مجلس الإدارة</v>
      </c>
    </row>
    <row r="148" customFormat="false" ht="15" hidden="false" customHeight="false" outlineLevel="0" collapsed="false">
      <c r="Q148" s="50" t="str">
        <f aca="false">IFERROR(IF(INDEX(tblDeliverables[مؤشر الالتزام الزمني],146)="متأخر",INDEX(tblDeliverables[المخرج],146),""),"")</f>
        <v/>
      </c>
      <c r="R148" s="50" t="str">
        <f aca="false">IFERROR(IF(AND(INDEX(tblDeliverables[الأولوية],146)="عالية",INDEX(tblDeliverables[الحالة الحالية],146)&lt;&gt;"معتمد ونافذ",INDEX(tblDeliverables[المخرج],146)&lt;&gt;""),INDEX(tblDeliverables[المخرج],146),""),"")</f>
        <v/>
      </c>
      <c r="S148" s="50" t="str">
        <f aca="false">IFERROR(IF(INDEX(tblMeetings[الحالة],146)="مفتوح",INDEX(tblMeetings[أهم القرارات],146),""),"")</f>
        <v/>
      </c>
      <c r="T148" s="50" t="str">
        <f aca="false">IFERROR(IF(AND(INDEX(tblMeetings[تاريخ الاستحقاق],146)&lt;&gt;"",INDEX(tblMeetings[تاريخ الاستحقاق],146)&gt;=TODAY(),INDEX(tblMeetings[تاريخ الاستحقاق],146)&lt;=TODAY()+14,INDEX(tblMeetings[الحالة],146)&lt;&gt;"مغلق"),INDEX(tblMeetings[الإجراءات المطلوبة],146),""),"")</f>
        <v/>
      </c>
      <c r="V148" s="50" t="str">
        <f aca="false">IF(Q148="",V147,IF(V147="",Q148,V147&amp;"،  "&amp;Q148))</f>
        <v>مصفوفة الصلاحيات الشاملة</v>
      </c>
      <c r="W148" s="50" t="str">
        <f aca="false">IF(R148="",W147,IF(W147="",R148,W147&amp;"،  "&amp;R148))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8" s="50" t="str">
        <f aca="false">IF(S148="",X147,IF(X147="",S148,X147&amp;"،  "&amp;S148))</f>
        <v>مراجعة حالة المخرجات المتأخرة،  الموافقة على رفع لوائح اللجان للمجلس</v>
      </c>
      <c r="Y148" s="50" t="str">
        <f aca="false">IF(T148="",Y147,IF(Y147="",T148,Y147&amp;"،  "&amp;T148))</f>
        <v>تسريع اعتماد مصفوفة الصلاحيات الشاملة،  جدولة جلسة اعتماد لائحة مجلس الإدارة</v>
      </c>
    </row>
    <row r="149" customFormat="false" ht="15" hidden="false" customHeight="false" outlineLevel="0" collapsed="false">
      <c r="Q149" s="50" t="str">
        <f aca="false">IFERROR(IF(INDEX(tblDeliverables[مؤشر الالتزام الزمني],147)="متأخر",INDEX(tblDeliverables[المخرج],147),""),"")</f>
        <v/>
      </c>
      <c r="R149" s="50" t="str">
        <f aca="false">IFERROR(IF(AND(INDEX(tblDeliverables[الأولوية],147)="عالية",INDEX(tblDeliverables[الحالة الحالية],147)&lt;&gt;"معتمد ونافذ",INDEX(tblDeliverables[المخرج],147)&lt;&gt;""),INDEX(tblDeliverables[المخرج],147),""),"")</f>
        <v/>
      </c>
      <c r="S149" s="50" t="str">
        <f aca="false">IFERROR(IF(INDEX(tblMeetings[الحالة],147)="مفتوح",INDEX(tblMeetings[أهم القرارات],147),""),"")</f>
        <v/>
      </c>
      <c r="T149" s="50" t="str">
        <f aca="false">IFERROR(IF(AND(INDEX(tblMeetings[تاريخ الاستحقاق],147)&lt;&gt;"",INDEX(tblMeetings[تاريخ الاستحقاق],147)&gt;=TODAY(),INDEX(tblMeetings[تاريخ الاستحقاق],147)&lt;=TODAY()+14,INDEX(tblMeetings[الحالة],147)&lt;&gt;"مغلق"),INDEX(tblMeetings[الإجراءات المطلوبة],147),""),"")</f>
        <v/>
      </c>
      <c r="V149" s="50" t="str">
        <f aca="false">IF(Q149="",V148,IF(V148="",Q149,V148&amp;"،  "&amp;Q149))</f>
        <v>مصفوفة الصلاحيات الشاملة</v>
      </c>
      <c r="W149" s="50" t="str">
        <f aca="false">IF(R149="",W148,IF(W148="",R149,W148&amp;"،  "&amp;R149))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49" s="50" t="str">
        <f aca="false">IF(S149="",X148,IF(X148="",S149,X148&amp;"،  "&amp;S149))</f>
        <v>مراجعة حالة المخرجات المتأخرة،  الموافقة على رفع لوائح اللجان للمجلس</v>
      </c>
      <c r="Y149" s="50" t="str">
        <f aca="false">IF(T149="",Y148,IF(Y148="",T149,Y148&amp;"،  "&amp;T149))</f>
        <v>تسريع اعتماد مصفوفة الصلاحيات الشاملة،  جدولة جلسة اعتماد لائحة مجلس الإدارة</v>
      </c>
    </row>
    <row r="150" customFormat="false" ht="15" hidden="false" customHeight="false" outlineLevel="0" collapsed="false">
      <c r="Q150" s="50" t="str">
        <f aca="false">IFERROR(IF(INDEX(tblDeliverables[مؤشر الالتزام الزمني],148)="متأخر",INDEX(tblDeliverables[المخرج],148),""),"")</f>
        <v/>
      </c>
      <c r="R150" s="50" t="str">
        <f aca="false">IFERROR(IF(AND(INDEX(tblDeliverables[الأولوية],148)="عالية",INDEX(tblDeliverables[الحالة الحالية],148)&lt;&gt;"معتمد ونافذ",INDEX(tblDeliverables[المخرج],148)&lt;&gt;""),INDEX(tblDeliverables[المخرج],148),""),"")</f>
        <v/>
      </c>
      <c r="S150" s="50" t="str">
        <f aca="false">IFERROR(IF(INDEX(tblMeetings[الحالة],148)="مفتوح",INDEX(tblMeetings[أهم القرارات],148),""),"")</f>
        <v/>
      </c>
      <c r="T150" s="50" t="str">
        <f aca="false">IFERROR(IF(AND(INDEX(tblMeetings[تاريخ الاستحقاق],148)&lt;&gt;"",INDEX(tblMeetings[تاريخ الاستحقاق],148)&gt;=TODAY(),INDEX(tblMeetings[تاريخ الاستحقاق],148)&lt;=TODAY()+14,INDEX(tblMeetings[الحالة],148)&lt;&gt;"مغلق"),INDEX(tblMeetings[الإجراءات المطلوبة],148),""),"")</f>
        <v/>
      </c>
      <c r="V150" s="50" t="str">
        <f aca="false">IF(Q150="",V149,IF(V149="",Q150,V149&amp;"،  "&amp;Q150))</f>
        <v>مصفوفة الصلاحيات الشاملة</v>
      </c>
      <c r="W150" s="50" t="str">
        <f aca="false">IF(R150="",W149,IF(W149="",R150,W149&amp;"،  "&amp;R150))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0" s="50" t="str">
        <f aca="false">IF(S150="",X149,IF(X149="",S150,X149&amp;"،  "&amp;S150))</f>
        <v>مراجعة حالة المخرجات المتأخرة،  الموافقة على رفع لوائح اللجان للمجلس</v>
      </c>
      <c r="Y150" s="50" t="str">
        <f aca="false">IF(T150="",Y149,IF(Y149="",T150,Y149&amp;"،  "&amp;T150))</f>
        <v>تسريع اعتماد مصفوفة الصلاحيات الشاملة،  جدولة جلسة اعتماد لائحة مجلس الإدارة</v>
      </c>
    </row>
    <row r="151" customFormat="false" ht="15" hidden="false" customHeight="false" outlineLevel="0" collapsed="false">
      <c r="Q151" s="50" t="str">
        <f aca="false">IFERROR(IF(INDEX(tblDeliverables[مؤشر الالتزام الزمني],149)="متأخر",INDEX(tblDeliverables[المخرج],149),""),"")</f>
        <v/>
      </c>
      <c r="R151" s="50" t="str">
        <f aca="false">IFERROR(IF(AND(INDEX(tblDeliverables[الأولوية],149)="عالية",INDEX(tblDeliverables[الحالة الحالية],149)&lt;&gt;"معتمد ونافذ",INDEX(tblDeliverables[المخرج],149)&lt;&gt;""),INDEX(tblDeliverables[المخرج],149),""),"")</f>
        <v/>
      </c>
      <c r="S151" s="50" t="str">
        <f aca="false">IFERROR(IF(INDEX(tblMeetings[الحالة],149)="مفتوح",INDEX(tblMeetings[أهم القرارات],149),""),"")</f>
        <v/>
      </c>
      <c r="T151" s="50" t="str">
        <f aca="false">IFERROR(IF(AND(INDEX(tblMeetings[تاريخ الاستحقاق],149)&lt;&gt;"",INDEX(tblMeetings[تاريخ الاستحقاق],149)&gt;=TODAY(),INDEX(tblMeetings[تاريخ الاستحقاق],149)&lt;=TODAY()+14,INDEX(tblMeetings[الحالة],149)&lt;&gt;"مغلق"),INDEX(tblMeetings[الإجراءات المطلوبة],149),""),"")</f>
        <v/>
      </c>
      <c r="V151" s="50" t="str">
        <f aca="false">IF(Q151="",V150,IF(V150="",Q151,V150&amp;"،  "&amp;Q151))</f>
        <v>مصفوفة الصلاحيات الشاملة</v>
      </c>
      <c r="W151" s="50" t="str">
        <f aca="false">IF(R151="",W150,IF(W150="",R151,W150&amp;"،  "&amp;R151))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1" s="50" t="str">
        <f aca="false">IF(S151="",X150,IF(X150="",S151,X150&amp;"،  "&amp;S151))</f>
        <v>مراجعة حالة المخرجات المتأخرة،  الموافقة على رفع لوائح اللجان للمجلس</v>
      </c>
      <c r="Y151" s="50" t="str">
        <f aca="false">IF(T151="",Y150,IF(Y150="",T151,Y150&amp;"،  "&amp;T151))</f>
        <v>تسريع اعتماد مصفوفة الصلاحيات الشاملة،  جدولة جلسة اعتماد لائحة مجلس الإدارة</v>
      </c>
    </row>
    <row r="152" customFormat="false" ht="15" hidden="false" customHeight="false" outlineLevel="0" collapsed="false">
      <c r="Q152" s="50" t="str">
        <f aca="false">IFERROR(IF(INDEX(tblDeliverables[مؤشر الالتزام الزمني],150)="متأخر",INDEX(tblDeliverables[المخرج],150),""),"")</f>
        <v/>
      </c>
      <c r="R152" s="50" t="str">
        <f aca="false">IFERROR(IF(AND(INDEX(tblDeliverables[الأولوية],150)="عالية",INDEX(tblDeliverables[الحالة الحالية],150)&lt;&gt;"معتمد ونافذ",INDEX(tblDeliverables[المخرج],150)&lt;&gt;""),INDEX(tblDeliverables[المخرج],150),""),"")</f>
        <v/>
      </c>
      <c r="S152" s="50" t="str">
        <f aca="false">IFERROR(IF(INDEX(tblMeetings[الحالة],150)="مفتوح",INDEX(tblMeetings[أهم القرارات],150),""),"")</f>
        <v/>
      </c>
      <c r="T152" s="50" t="str">
        <f aca="false">IFERROR(IF(AND(INDEX(tblMeetings[تاريخ الاستحقاق],150)&lt;&gt;"",INDEX(tblMeetings[تاريخ الاستحقاق],150)&gt;=TODAY(),INDEX(tblMeetings[تاريخ الاستحقاق],150)&lt;=TODAY()+14,INDEX(tblMeetings[الحالة],150)&lt;&gt;"مغلق"),INDEX(tblMeetings[الإجراءات المطلوبة],150),""),"")</f>
        <v/>
      </c>
      <c r="V152" s="50" t="str">
        <f aca="false">IF(Q152="",V151,IF(V151="",Q152,V151&amp;"،  "&amp;Q152))</f>
        <v>مصفوفة الصلاحيات الشاملة</v>
      </c>
      <c r="W152" s="50" t="str">
        <f aca="false">IF(R152="",W151,IF(W151="",R152,W151&amp;"،  "&amp;R152))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2" s="50" t="str">
        <f aca="false">IF(S152="",X151,IF(X151="",S152,X151&amp;"،  "&amp;S152))</f>
        <v>مراجعة حالة المخرجات المتأخرة،  الموافقة على رفع لوائح اللجان للمجلس</v>
      </c>
      <c r="Y152" s="50" t="str">
        <f aca="false">IF(T152="",Y151,IF(Y151="",T152,Y151&amp;"،  "&amp;T152))</f>
        <v>تسريع اعتماد مصفوفة الصلاحيات الشاملة،  جدولة جلسة اعتماد لائحة مجلس الإدارة</v>
      </c>
    </row>
    <row r="153" customFormat="false" ht="15" hidden="false" customHeight="false" outlineLevel="0" collapsed="false">
      <c r="Q153" s="50" t="str">
        <f aca="false">IFERROR(IF(INDEX(tblDeliverables[مؤشر الالتزام الزمني],151)="متأخر",INDEX(tblDeliverables[المخرج],151),""),"")</f>
        <v/>
      </c>
      <c r="R153" s="50" t="str">
        <f aca="false">IFERROR(IF(AND(INDEX(tblDeliverables[الأولوية],151)="عالية",INDEX(tblDeliverables[الحالة الحالية],151)&lt;&gt;"معتمد ونافذ",INDEX(tblDeliverables[المخرج],151)&lt;&gt;""),INDEX(tblDeliverables[المخرج],151),""),"")</f>
        <v/>
      </c>
      <c r="S153" s="50" t="str">
        <f aca="false">IFERROR(IF(INDEX(tblMeetings[الحالة],151)="مفتوح",INDEX(tblMeetings[أهم القرارات],151),""),"")</f>
        <v/>
      </c>
      <c r="T153" s="50" t="str">
        <f aca="false">IFERROR(IF(AND(INDEX(tblMeetings[تاريخ الاستحقاق],151)&lt;&gt;"",INDEX(tblMeetings[تاريخ الاستحقاق],151)&gt;=TODAY(),INDEX(tblMeetings[تاريخ الاستحقاق],151)&lt;=TODAY()+14,INDEX(tblMeetings[الحالة],151)&lt;&gt;"مغلق"),INDEX(tblMeetings[الإجراءات المطلوبة],151),""),"")</f>
        <v/>
      </c>
      <c r="V153" s="50" t="str">
        <f aca="false">IF(Q153="",V152,IF(V152="",Q153,V152&amp;"،  "&amp;Q153))</f>
        <v>مصفوفة الصلاحيات الشاملة</v>
      </c>
      <c r="W153" s="50" t="str">
        <f aca="false">IF(R153="",W152,IF(W152="",R153,W152&amp;"،  "&amp;R153))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3" s="50" t="str">
        <f aca="false">IF(S153="",X152,IF(X152="",S153,X152&amp;"،  "&amp;S153))</f>
        <v>مراجعة حالة المخرجات المتأخرة،  الموافقة على رفع لوائح اللجان للمجلس</v>
      </c>
      <c r="Y153" s="50" t="str">
        <f aca="false">IF(T153="",Y152,IF(Y152="",T153,Y152&amp;"،  "&amp;T153))</f>
        <v>تسريع اعتماد مصفوفة الصلاحيات الشاملة،  جدولة جلسة اعتماد لائحة مجلس الإدارة</v>
      </c>
    </row>
    <row r="154" customFormat="false" ht="15" hidden="false" customHeight="false" outlineLevel="0" collapsed="false">
      <c r="Q154" s="50" t="str">
        <f aca="false">IFERROR(IF(INDEX(tblDeliverables[مؤشر الالتزام الزمني],152)="متأخر",INDEX(tblDeliverables[المخرج],152),""),"")</f>
        <v/>
      </c>
      <c r="R154" s="50" t="str">
        <f aca="false">IFERROR(IF(AND(INDEX(tblDeliverables[الأولوية],152)="عالية",INDEX(tblDeliverables[الحالة الحالية],152)&lt;&gt;"معتمد ونافذ",INDEX(tblDeliverables[المخرج],152)&lt;&gt;""),INDEX(tblDeliverables[المخرج],152),""),"")</f>
        <v/>
      </c>
      <c r="S154" s="50" t="str">
        <f aca="false">IFERROR(IF(INDEX(tblMeetings[الحالة],152)="مفتوح",INDEX(tblMeetings[أهم القرارات],152),""),"")</f>
        <v/>
      </c>
      <c r="T154" s="50" t="str">
        <f aca="false">IFERROR(IF(AND(INDEX(tblMeetings[تاريخ الاستحقاق],152)&lt;&gt;"",INDEX(tblMeetings[تاريخ الاستحقاق],152)&gt;=TODAY(),INDEX(tblMeetings[تاريخ الاستحقاق],152)&lt;=TODAY()+14,INDEX(tblMeetings[الحالة],152)&lt;&gt;"مغلق"),INDEX(tblMeetings[الإجراءات المطلوبة],152),""),"")</f>
        <v/>
      </c>
      <c r="V154" s="50" t="str">
        <f aca="false">IF(Q154="",V153,IF(V153="",Q154,V153&amp;"،  "&amp;Q154))</f>
        <v>مصفوفة الصلاحيات الشاملة</v>
      </c>
      <c r="W154" s="50" t="str">
        <f aca="false">IF(R154="",W153,IF(W153="",R154,W153&amp;"،  "&amp;R154))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4" s="50" t="str">
        <f aca="false">IF(S154="",X153,IF(X153="",S154,X153&amp;"،  "&amp;S154))</f>
        <v>مراجعة حالة المخرجات المتأخرة،  الموافقة على رفع لوائح اللجان للمجلس</v>
      </c>
      <c r="Y154" s="50" t="str">
        <f aca="false">IF(T154="",Y153,IF(Y153="",T154,Y153&amp;"،  "&amp;T154))</f>
        <v>تسريع اعتماد مصفوفة الصلاحيات الشاملة،  جدولة جلسة اعتماد لائحة مجلس الإدارة</v>
      </c>
    </row>
    <row r="155" customFormat="false" ht="15" hidden="false" customHeight="false" outlineLevel="0" collapsed="false">
      <c r="Q155" s="50" t="str">
        <f aca="false">IFERROR(IF(INDEX(tblDeliverables[مؤشر الالتزام الزمني],153)="متأخر",INDEX(tblDeliverables[المخرج],153),""),"")</f>
        <v/>
      </c>
      <c r="R155" s="50" t="str">
        <f aca="false">IFERROR(IF(AND(INDEX(tblDeliverables[الأولوية],153)="عالية",INDEX(tblDeliverables[الحالة الحالية],153)&lt;&gt;"معتمد ونافذ",INDEX(tblDeliverables[المخرج],153)&lt;&gt;""),INDEX(tblDeliverables[المخرج],153),""),"")</f>
        <v/>
      </c>
      <c r="S155" s="50" t="str">
        <f aca="false">IFERROR(IF(INDEX(tblMeetings[الحالة],153)="مفتوح",INDEX(tblMeetings[أهم القرارات],153),""),"")</f>
        <v/>
      </c>
      <c r="T155" s="50" t="str">
        <f aca="false">IFERROR(IF(AND(INDEX(tblMeetings[تاريخ الاستحقاق],153)&lt;&gt;"",INDEX(tblMeetings[تاريخ الاستحقاق],153)&gt;=TODAY(),INDEX(tblMeetings[تاريخ الاستحقاق],153)&lt;=TODAY()+14,INDEX(tblMeetings[الحالة],153)&lt;&gt;"مغلق"),INDEX(tblMeetings[الإجراءات المطلوبة],153),""),"")</f>
        <v/>
      </c>
      <c r="V155" s="50" t="str">
        <f aca="false">IF(Q155="",V154,IF(V154="",Q155,V154&amp;"،  "&amp;Q155))</f>
        <v>مصفوفة الصلاحيات الشاملة</v>
      </c>
      <c r="W155" s="50" t="str">
        <f aca="false">IF(R155="",W154,IF(W154="",R155,W154&amp;"،  "&amp;R155))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5" s="50" t="str">
        <f aca="false">IF(S155="",X154,IF(X154="",S155,X154&amp;"،  "&amp;S155))</f>
        <v>مراجعة حالة المخرجات المتأخرة،  الموافقة على رفع لوائح اللجان للمجلس</v>
      </c>
      <c r="Y155" s="50" t="str">
        <f aca="false">IF(T155="",Y154,IF(Y154="",T155,Y154&amp;"،  "&amp;T155))</f>
        <v>تسريع اعتماد مصفوفة الصلاحيات الشاملة،  جدولة جلسة اعتماد لائحة مجلس الإدارة</v>
      </c>
    </row>
    <row r="156" customFormat="false" ht="15" hidden="false" customHeight="false" outlineLevel="0" collapsed="false">
      <c r="Q156" s="50" t="str">
        <f aca="false">IFERROR(IF(INDEX(tblDeliverables[مؤشر الالتزام الزمني],154)="متأخر",INDEX(tblDeliverables[المخرج],154),""),"")</f>
        <v/>
      </c>
      <c r="R156" s="50" t="str">
        <f aca="false">IFERROR(IF(AND(INDEX(tblDeliverables[الأولوية],154)="عالية",INDEX(tblDeliverables[الحالة الحالية],154)&lt;&gt;"معتمد ونافذ",INDEX(tblDeliverables[المخرج],154)&lt;&gt;""),INDEX(tblDeliverables[المخرج],154),""),"")</f>
        <v/>
      </c>
      <c r="S156" s="50" t="str">
        <f aca="false">IFERROR(IF(INDEX(tblMeetings[الحالة],154)="مفتوح",INDEX(tblMeetings[أهم القرارات],154),""),"")</f>
        <v/>
      </c>
      <c r="T156" s="50" t="str">
        <f aca="false">IFERROR(IF(AND(INDEX(tblMeetings[تاريخ الاستحقاق],154)&lt;&gt;"",INDEX(tblMeetings[تاريخ الاستحقاق],154)&gt;=TODAY(),INDEX(tblMeetings[تاريخ الاستحقاق],154)&lt;=TODAY()+14,INDEX(tblMeetings[الحالة],154)&lt;&gt;"مغلق"),INDEX(tblMeetings[الإجراءات المطلوبة],154),""),"")</f>
        <v/>
      </c>
      <c r="V156" s="50" t="str">
        <f aca="false">IF(Q156="",V155,IF(V155="",Q156,V155&amp;"،  "&amp;Q156))</f>
        <v>مصفوفة الصلاحيات الشاملة</v>
      </c>
      <c r="W156" s="50" t="str">
        <f aca="false">IF(R156="",W155,IF(W155="",R156,W155&amp;"،  "&amp;R156))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6" s="50" t="str">
        <f aca="false">IF(S156="",X155,IF(X155="",S156,X155&amp;"،  "&amp;S156))</f>
        <v>مراجعة حالة المخرجات المتأخرة،  الموافقة على رفع لوائح اللجان للمجلس</v>
      </c>
      <c r="Y156" s="50" t="str">
        <f aca="false">IF(T156="",Y155,IF(Y155="",T156,Y155&amp;"،  "&amp;T156))</f>
        <v>تسريع اعتماد مصفوفة الصلاحيات الشاملة،  جدولة جلسة اعتماد لائحة مجلس الإدارة</v>
      </c>
    </row>
    <row r="157" customFormat="false" ht="15" hidden="false" customHeight="false" outlineLevel="0" collapsed="false">
      <c r="Q157" s="50" t="str">
        <f aca="false">IFERROR(IF(INDEX(tblDeliverables[مؤشر الالتزام الزمني],155)="متأخر",INDEX(tblDeliverables[المخرج],155),""),"")</f>
        <v/>
      </c>
      <c r="R157" s="50" t="str">
        <f aca="false">IFERROR(IF(AND(INDEX(tblDeliverables[الأولوية],155)="عالية",INDEX(tblDeliverables[الحالة الحالية],155)&lt;&gt;"معتمد ونافذ",INDEX(tblDeliverables[المخرج],155)&lt;&gt;""),INDEX(tblDeliverables[المخرج],155),""),"")</f>
        <v/>
      </c>
      <c r="S157" s="50" t="str">
        <f aca="false">IFERROR(IF(INDEX(tblMeetings[الحالة],155)="مفتوح",INDEX(tblMeetings[أهم القرارات],155),""),"")</f>
        <v/>
      </c>
      <c r="T157" s="50" t="str">
        <f aca="false">IFERROR(IF(AND(INDEX(tblMeetings[تاريخ الاستحقاق],155)&lt;&gt;"",INDEX(tblMeetings[تاريخ الاستحقاق],155)&gt;=TODAY(),INDEX(tblMeetings[تاريخ الاستحقاق],155)&lt;=TODAY()+14,INDEX(tblMeetings[الحالة],155)&lt;&gt;"مغلق"),INDEX(tblMeetings[الإجراءات المطلوبة],155),""),"")</f>
        <v/>
      </c>
      <c r="V157" s="50" t="str">
        <f aca="false">IF(Q157="",V156,IF(V156="",Q157,V156&amp;"،  "&amp;Q157))</f>
        <v>مصفوفة الصلاحيات الشاملة</v>
      </c>
      <c r="W157" s="50" t="str">
        <f aca="false">IF(R157="",W156,IF(W156="",R157,W156&amp;"،  "&amp;R157))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7" s="50" t="str">
        <f aca="false">IF(S157="",X156,IF(X156="",S157,X156&amp;"،  "&amp;S157))</f>
        <v>مراجعة حالة المخرجات المتأخرة،  الموافقة على رفع لوائح اللجان للمجلس</v>
      </c>
      <c r="Y157" s="50" t="str">
        <f aca="false">IF(T157="",Y156,IF(Y156="",T157,Y156&amp;"،  "&amp;T157))</f>
        <v>تسريع اعتماد مصفوفة الصلاحيات الشاملة،  جدولة جلسة اعتماد لائحة مجلس الإدارة</v>
      </c>
    </row>
    <row r="158" customFormat="false" ht="15" hidden="false" customHeight="false" outlineLevel="0" collapsed="false">
      <c r="Q158" s="50" t="str">
        <f aca="false">IFERROR(IF(INDEX(tblDeliverables[مؤشر الالتزام الزمني],156)="متأخر",INDEX(tblDeliverables[المخرج],156),""),"")</f>
        <v/>
      </c>
      <c r="R158" s="50" t="str">
        <f aca="false">IFERROR(IF(AND(INDEX(tblDeliverables[الأولوية],156)="عالية",INDEX(tblDeliverables[الحالة الحالية],156)&lt;&gt;"معتمد ونافذ",INDEX(tblDeliverables[المخرج],156)&lt;&gt;""),INDEX(tblDeliverables[المخرج],156),""),"")</f>
        <v/>
      </c>
      <c r="S158" s="50" t="str">
        <f aca="false">IFERROR(IF(INDEX(tblMeetings[الحالة],156)="مفتوح",INDEX(tblMeetings[أهم القرارات],156),""),"")</f>
        <v/>
      </c>
      <c r="T158" s="50" t="str">
        <f aca="false">IFERROR(IF(AND(INDEX(tblMeetings[تاريخ الاستحقاق],156)&lt;&gt;"",INDEX(tblMeetings[تاريخ الاستحقاق],156)&gt;=TODAY(),INDEX(tblMeetings[تاريخ الاستحقاق],156)&lt;=TODAY()+14,INDEX(tblMeetings[الحالة],156)&lt;&gt;"مغلق"),INDEX(tblMeetings[الإجراءات المطلوبة],156),""),"")</f>
        <v/>
      </c>
      <c r="V158" s="50" t="str">
        <f aca="false">IF(Q158="",V157,IF(V157="",Q158,V157&amp;"،  "&amp;Q158))</f>
        <v>مصفوفة الصلاحيات الشاملة</v>
      </c>
      <c r="W158" s="50" t="str">
        <f aca="false">IF(R158="",W157,IF(W157="",R158,W157&amp;"،  "&amp;R158))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8" s="50" t="str">
        <f aca="false">IF(S158="",X157,IF(X157="",S158,X157&amp;"،  "&amp;S158))</f>
        <v>مراجعة حالة المخرجات المتأخرة،  الموافقة على رفع لوائح اللجان للمجلس</v>
      </c>
      <c r="Y158" s="50" t="str">
        <f aca="false">IF(T158="",Y157,IF(Y157="",T158,Y157&amp;"،  "&amp;T158))</f>
        <v>تسريع اعتماد مصفوفة الصلاحيات الشاملة،  جدولة جلسة اعتماد لائحة مجلس الإدارة</v>
      </c>
    </row>
    <row r="159" customFormat="false" ht="15" hidden="false" customHeight="false" outlineLevel="0" collapsed="false">
      <c r="Q159" s="50" t="str">
        <f aca="false">IFERROR(IF(INDEX(tblDeliverables[مؤشر الالتزام الزمني],157)="متأخر",INDEX(tblDeliverables[المخرج],157),""),"")</f>
        <v/>
      </c>
      <c r="R159" s="50" t="str">
        <f aca="false">IFERROR(IF(AND(INDEX(tblDeliverables[الأولوية],157)="عالية",INDEX(tblDeliverables[الحالة الحالية],157)&lt;&gt;"معتمد ونافذ",INDEX(tblDeliverables[المخرج],157)&lt;&gt;""),INDEX(tblDeliverables[المخرج],157),""),"")</f>
        <v/>
      </c>
      <c r="S159" s="50" t="str">
        <f aca="false">IFERROR(IF(INDEX(tblMeetings[الحالة],157)="مفتوح",INDEX(tblMeetings[أهم القرارات],157),""),"")</f>
        <v/>
      </c>
      <c r="T159" s="50" t="str">
        <f aca="false">IFERROR(IF(AND(INDEX(tblMeetings[تاريخ الاستحقاق],157)&lt;&gt;"",INDEX(tblMeetings[تاريخ الاستحقاق],157)&gt;=TODAY(),INDEX(tblMeetings[تاريخ الاستحقاق],157)&lt;=TODAY()+14,INDEX(tblMeetings[الحالة],157)&lt;&gt;"مغلق"),INDEX(tblMeetings[الإجراءات المطلوبة],157),""),"")</f>
        <v/>
      </c>
      <c r="V159" s="50" t="str">
        <f aca="false">IF(Q159="",V158,IF(V158="",Q159,V158&amp;"،  "&amp;Q159))</f>
        <v>مصفوفة الصلاحيات الشاملة</v>
      </c>
      <c r="W159" s="50" t="str">
        <f aca="false">IF(R159="",W158,IF(W158="",R159,W158&amp;"،  "&amp;R159))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59" s="50" t="str">
        <f aca="false">IF(S159="",X158,IF(X158="",S159,X158&amp;"،  "&amp;S159))</f>
        <v>مراجعة حالة المخرجات المتأخرة،  الموافقة على رفع لوائح اللجان للمجلس</v>
      </c>
      <c r="Y159" s="50" t="str">
        <f aca="false">IF(T159="",Y158,IF(Y158="",T159,Y158&amp;"،  "&amp;T159))</f>
        <v>تسريع اعتماد مصفوفة الصلاحيات الشاملة،  جدولة جلسة اعتماد لائحة مجلس الإدارة</v>
      </c>
    </row>
    <row r="160" customFormat="false" ht="15" hidden="false" customHeight="false" outlineLevel="0" collapsed="false">
      <c r="Q160" s="50" t="str">
        <f aca="false">IFERROR(IF(INDEX(tblDeliverables[مؤشر الالتزام الزمني],158)="متأخر",INDEX(tblDeliverables[المخرج],158),""),"")</f>
        <v/>
      </c>
      <c r="R160" s="50" t="str">
        <f aca="false">IFERROR(IF(AND(INDEX(tblDeliverables[الأولوية],158)="عالية",INDEX(tblDeliverables[الحالة الحالية],158)&lt;&gt;"معتمد ونافذ",INDEX(tblDeliverables[المخرج],158)&lt;&gt;""),INDEX(tblDeliverables[المخرج],158),""),"")</f>
        <v/>
      </c>
      <c r="S160" s="50" t="str">
        <f aca="false">IFERROR(IF(INDEX(tblMeetings[الحالة],158)="مفتوح",INDEX(tblMeetings[أهم القرارات],158),""),"")</f>
        <v/>
      </c>
      <c r="T160" s="50" t="str">
        <f aca="false">IFERROR(IF(AND(INDEX(tblMeetings[تاريخ الاستحقاق],158)&lt;&gt;"",INDEX(tblMeetings[تاريخ الاستحقاق],158)&gt;=TODAY(),INDEX(tblMeetings[تاريخ الاستحقاق],158)&lt;=TODAY()+14,INDEX(tblMeetings[الحالة],158)&lt;&gt;"مغلق"),INDEX(tblMeetings[الإجراءات المطلوبة],158),""),"")</f>
        <v/>
      </c>
      <c r="V160" s="50" t="str">
        <f aca="false">IF(Q160="",V159,IF(V159="",Q160,V159&amp;"،  "&amp;Q160))</f>
        <v>مصفوفة الصلاحيات الشاملة</v>
      </c>
      <c r="W160" s="50" t="str">
        <f aca="false">IF(R160="",W159,IF(W159="",R160,W159&amp;"،  "&amp;R160))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0" s="50" t="str">
        <f aca="false">IF(S160="",X159,IF(X159="",S160,X159&amp;"،  "&amp;S160))</f>
        <v>مراجعة حالة المخرجات المتأخرة،  الموافقة على رفع لوائح اللجان للمجلس</v>
      </c>
      <c r="Y160" s="50" t="str">
        <f aca="false">IF(T160="",Y159,IF(Y159="",T160,Y159&amp;"،  "&amp;T160))</f>
        <v>تسريع اعتماد مصفوفة الصلاحيات الشاملة،  جدولة جلسة اعتماد لائحة مجلس الإدارة</v>
      </c>
    </row>
    <row r="161" customFormat="false" ht="15" hidden="false" customHeight="false" outlineLevel="0" collapsed="false">
      <c r="Q161" s="50" t="str">
        <f aca="false">IFERROR(IF(INDEX(tblDeliverables[مؤشر الالتزام الزمني],159)="متأخر",INDEX(tblDeliverables[المخرج],159),""),"")</f>
        <v/>
      </c>
      <c r="R161" s="50" t="str">
        <f aca="false">IFERROR(IF(AND(INDEX(tblDeliverables[الأولوية],159)="عالية",INDEX(tblDeliverables[الحالة الحالية],159)&lt;&gt;"معتمد ونافذ",INDEX(tblDeliverables[المخرج],159)&lt;&gt;""),INDEX(tblDeliverables[المخرج],159),""),"")</f>
        <v/>
      </c>
      <c r="S161" s="50" t="str">
        <f aca="false">IFERROR(IF(INDEX(tblMeetings[الحالة],159)="مفتوح",INDEX(tblMeetings[أهم القرارات],159),""),"")</f>
        <v/>
      </c>
      <c r="T161" s="50" t="str">
        <f aca="false">IFERROR(IF(AND(INDEX(tblMeetings[تاريخ الاستحقاق],159)&lt;&gt;"",INDEX(tblMeetings[تاريخ الاستحقاق],159)&gt;=TODAY(),INDEX(tblMeetings[تاريخ الاستحقاق],159)&lt;=TODAY()+14,INDEX(tblMeetings[الحالة],159)&lt;&gt;"مغلق"),INDEX(tblMeetings[الإجراءات المطلوبة],159),""),"")</f>
        <v/>
      </c>
      <c r="V161" s="50" t="str">
        <f aca="false">IF(Q161="",V160,IF(V160="",Q161,V160&amp;"،  "&amp;Q161))</f>
        <v>مصفوفة الصلاحيات الشاملة</v>
      </c>
      <c r="W161" s="50" t="str">
        <f aca="false">IF(R161="",W160,IF(W160="",R161,W160&amp;"،  "&amp;R161))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1" s="50" t="str">
        <f aca="false">IF(S161="",X160,IF(X160="",S161,X160&amp;"،  "&amp;S161))</f>
        <v>مراجعة حالة المخرجات المتأخرة،  الموافقة على رفع لوائح اللجان للمجلس</v>
      </c>
      <c r="Y161" s="50" t="str">
        <f aca="false">IF(T161="",Y160,IF(Y160="",T161,Y160&amp;"،  "&amp;T161))</f>
        <v>تسريع اعتماد مصفوفة الصلاحيات الشاملة،  جدولة جلسة اعتماد لائحة مجلس الإدارة</v>
      </c>
    </row>
    <row r="162" customFormat="false" ht="15" hidden="false" customHeight="false" outlineLevel="0" collapsed="false">
      <c r="Q162" s="50" t="str">
        <f aca="false">IFERROR(IF(INDEX(tblDeliverables[مؤشر الالتزام الزمني],160)="متأخر",INDEX(tblDeliverables[المخرج],160),""),"")</f>
        <v/>
      </c>
      <c r="R162" s="50" t="str">
        <f aca="false">IFERROR(IF(AND(INDEX(tblDeliverables[الأولوية],160)="عالية",INDEX(tblDeliverables[الحالة الحالية],160)&lt;&gt;"معتمد ونافذ",INDEX(tblDeliverables[المخرج],160)&lt;&gt;""),INDEX(tblDeliverables[المخرج],160),""),"")</f>
        <v/>
      </c>
      <c r="S162" s="50" t="str">
        <f aca="false">IFERROR(IF(INDEX(tblMeetings[الحالة],160)="مفتوح",INDEX(tblMeetings[أهم القرارات],160),""),"")</f>
        <v/>
      </c>
      <c r="T162" s="50" t="str">
        <f aca="false">IFERROR(IF(AND(INDEX(tblMeetings[تاريخ الاستحقاق],160)&lt;&gt;"",INDEX(tblMeetings[تاريخ الاستحقاق],160)&gt;=TODAY(),INDEX(tblMeetings[تاريخ الاستحقاق],160)&lt;=TODAY()+14,INDEX(tblMeetings[الحالة],160)&lt;&gt;"مغلق"),INDEX(tblMeetings[الإجراءات المطلوبة],160),""),"")</f>
        <v/>
      </c>
      <c r="V162" s="50" t="str">
        <f aca="false">IF(Q162="",V161,IF(V161="",Q162,V161&amp;"،  "&amp;Q162))</f>
        <v>مصفوفة الصلاحيات الشاملة</v>
      </c>
      <c r="W162" s="50" t="str">
        <f aca="false">IF(R162="",W161,IF(W161="",R162,W161&amp;"،  "&amp;R162))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2" s="50" t="str">
        <f aca="false">IF(S162="",X161,IF(X161="",S162,X161&amp;"،  "&amp;S162))</f>
        <v>مراجعة حالة المخرجات المتأخرة،  الموافقة على رفع لوائح اللجان للمجلس</v>
      </c>
      <c r="Y162" s="50" t="str">
        <f aca="false">IF(T162="",Y161,IF(Y161="",T162,Y161&amp;"،  "&amp;T162))</f>
        <v>تسريع اعتماد مصفوفة الصلاحيات الشاملة،  جدولة جلسة اعتماد لائحة مجلس الإدارة</v>
      </c>
    </row>
    <row r="163" customFormat="false" ht="15" hidden="false" customHeight="false" outlineLevel="0" collapsed="false">
      <c r="Q163" s="50" t="str">
        <f aca="false">IFERROR(IF(INDEX(tblDeliverables[مؤشر الالتزام الزمني],161)="متأخر",INDEX(tblDeliverables[المخرج],161),""),"")</f>
        <v/>
      </c>
      <c r="R163" s="50" t="str">
        <f aca="false">IFERROR(IF(AND(INDEX(tblDeliverables[الأولوية],161)="عالية",INDEX(tblDeliverables[الحالة الحالية],161)&lt;&gt;"معتمد ونافذ",INDEX(tblDeliverables[المخرج],161)&lt;&gt;""),INDEX(tblDeliverables[المخرج],161),""),"")</f>
        <v/>
      </c>
      <c r="S163" s="50" t="str">
        <f aca="false">IFERROR(IF(INDEX(tblMeetings[الحالة],161)="مفتوح",INDEX(tblMeetings[أهم القرارات],161),""),"")</f>
        <v/>
      </c>
      <c r="T163" s="50" t="str">
        <f aca="false">IFERROR(IF(AND(INDEX(tblMeetings[تاريخ الاستحقاق],161)&lt;&gt;"",INDEX(tblMeetings[تاريخ الاستحقاق],161)&gt;=TODAY(),INDEX(tblMeetings[تاريخ الاستحقاق],161)&lt;=TODAY()+14,INDEX(tblMeetings[الحالة],161)&lt;&gt;"مغلق"),INDEX(tblMeetings[الإجراءات المطلوبة],161),""),"")</f>
        <v/>
      </c>
      <c r="V163" s="50" t="str">
        <f aca="false">IF(Q163="",V162,IF(V162="",Q163,V162&amp;"،  "&amp;Q163))</f>
        <v>مصفوفة الصلاحيات الشاملة</v>
      </c>
      <c r="W163" s="50" t="str">
        <f aca="false">IF(R163="",W162,IF(W162="",R163,W162&amp;"،  "&amp;R163))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3" s="50" t="str">
        <f aca="false">IF(S163="",X162,IF(X162="",S163,X162&amp;"،  "&amp;S163))</f>
        <v>مراجعة حالة المخرجات المتأخرة،  الموافقة على رفع لوائح اللجان للمجلس</v>
      </c>
      <c r="Y163" s="50" t="str">
        <f aca="false">IF(T163="",Y162,IF(Y162="",T163,Y162&amp;"،  "&amp;T163))</f>
        <v>تسريع اعتماد مصفوفة الصلاحيات الشاملة،  جدولة جلسة اعتماد لائحة مجلس الإدارة</v>
      </c>
    </row>
    <row r="164" customFormat="false" ht="15" hidden="false" customHeight="false" outlineLevel="0" collapsed="false">
      <c r="Q164" s="50" t="str">
        <f aca="false">IFERROR(IF(INDEX(tblDeliverables[مؤشر الالتزام الزمني],162)="متأخر",INDEX(tblDeliverables[المخرج],162),""),"")</f>
        <v/>
      </c>
      <c r="R164" s="50" t="str">
        <f aca="false">IFERROR(IF(AND(INDEX(tblDeliverables[الأولوية],162)="عالية",INDEX(tblDeliverables[الحالة الحالية],162)&lt;&gt;"معتمد ونافذ",INDEX(tblDeliverables[المخرج],162)&lt;&gt;""),INDEX(tblDeliverables[المخرج],162),""),"")</f>
        <v/>
      </c>
      <c r="S164" s="50" t="str">
        <f aca="false">IFERROR(IF(INDEX(tblMeetings[الحالة],162)="مفتوح",INDEX(tblMeetings[أهم القرارات],162),""),"")</f>
        <v/>
      </c>
      <c r="T164" s="50" t="str">
        <f aca="false">IFERROR(IF(AND(INDEX(tblMeetings[تاريخ الاستحقاق],162)&lt;&gt;"",INDEX(tblMeetings[تاريخ الاستحقاق],162)&gt;=TODAY(),INDEX(tblMeetings[تاريخ الاستحقاق],162)&lt;=TODAY()+14,INDEX(tblMeetings[الحالة],162)&lt;&gt;"مغلق"),INDEX(tblMeetings[الإجراءات المطلوبة],162),""),"")</f>
        <v/>
      </c>
      <c r="V164" s="50" t="str">
        <f aca="false">IF(Q164="",V163,IF(V163="",Q164,V163&amp;"،  "&amp;Q164))</f>
        <v>مصفوفة الصلاحيات الشاملة</v>
      </c>
      <c r="W164" s="50" t="str">
        <f aca="false">IF(R164="",W163,IF(W163="",R164,W163&amp;"،  "&amp;R164))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4" s="50" t="str">
        <f aca="false">IF(S164="",X163,IF(X163="",S164,X163&amp;"،  "&amp;S164))</f>
        <v>مراجعة حالة المخرجات المتأخرة،  الموافقة على رفع لوائح اللجان للمجلس</v>
      </c>
      <c r="Y164" s="50" t="str">
        <f aca="false">IF(T164="",Y163,IF(Y163="",T164,Y163&amp;"،  "&amp;T164))</f>
        <v>تسريع اعتماد مصفوفة الصلاحيات الشاملة،  جدولة جلسة اعتماد لائحة مجلس الإدارة</v>
      </c>
    </row>
    <row r="165" customFormat="false" ht="15" hidden="false" customHeight="false" outlineLevel="0" collapsed="false">
      <c r="Q165" s="50" t="str">
        <f aca="false">IFERROR(IF(INDEX(tblDeliverables[مؤشر الالتزام الزمني],163)="متأخر",INDEX(tblDeliverables[المخرج],163),""),"")</f>
        <v/>
      </c>
      <c r="R165" s="50" t="str">
        <f aca="false">IFERROR(IF(AND(INDEX(tblDeliverables[الأولوية],163)="عالية",INDEX(tblDeliverables[الحالة الحالية],163)&lt;&gt;"معتمد ونافذ",INDEX(tblDeliverables[المخرج],163)&lt;&gt;""),INDEX(tblDeliverables[المخرج],163),""),"")</f>
        <v/>
      </c>
      <c r="S165" s="50" t="str">
        <f aca="false">IFERROR(IF(INDEX(tblMeetings[الحالة],163)="مفتوح",INDEX(tblMeetings[أهم القرارات],163),""),"")</f>
        <v/>
      </c>
      <c r="T165" s="50" t="str">
        <f aca="false">IFERROR(IF(AND(INDEX(tblMeetings[تاريخ الاستحقاق],163)&lt;&gt;"",INDEX(tblMeetings[تاريخ الاستحقاق],163)&gt;=TODAY(),INDEX(tblMeetings[تاريخ الاستحقاق],163)&lt;=TODAY()+14,INDEX(tblMeetings[الحالة],163)&lt;&gt;"مغلق"),INDEX(tblMeetings[الإجراءات المطلوبة],163),""),"")</f>
        <v/>
      </c>
      <c r="V165" s="50" t="str">
        <f aca="false">IF(Q165="",V164,IF(V164="",Q165,V164&amp;"،  "&amp;Q165))</f>
        <v>مصفوفة الصلاحيات الشاملة</v>
      </c>
      <c r="W165" s="50" t="str">
        <f aca="false">IF(R165="",W164,IF(W164="",R165,W164&amp;"،  "&amp;R165))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5" s="50" t="str">
        <f aca="false">IF(S165="",X164,IF(X164="",S165,X164&amp;"،  "&amp;S165))</f>
        <v>مراجعة حالة المخرجات المتأخرة،  الموافقة على رفع لوائح اللجان للمجلس</v>
      </c>
      <c r="Y165" s="50" t="str">
        <f aca="false">IF(T165="",Y164,IF(Y164="",T165,Y164&amp;"،  "&amp;T165))</f>
        <v>تسريع اعتماد مصفوفة الصلاحيات الشاملة،  جدولة جلسة اعتماد لائحة مجلس الإدارة</v>
      </c>
    </row>
    <row r="166" customFormat="false" ht="15" hidden="false" customHeight="false" outlineLevel="0" collapsed="false">
      <c r="Q166" s="50" t="str">
        <f aca="false">IFERROR(IF(INDEX(tblDeliverables[مؤشر الالتزام الزمني],164)="متأخر",INDEX(tblDeliverables[المخرج],164),""),"")</f>
        <v/>
      </c>
      <c r="R166" s="50" t="str">
        <f aca="false">IFERROR(IF(AND(INDEX(tblDeliverables[الأولوية],164)="عالية",INDEX(tblDeliverables[الحالة الحالية],164)&lt;&gt;"معتمد ونافذ",INDEX(tblDeliverables[المخرج],164)&lt;&gt;""),INDEX(tblDeliverables[المخرج],164),""),"")</f>
        <v/>
      </c>
      <c r="S166" s="50" t="str">
        <f aca="false">IFERROR(IF(INDEX(tblMeetings[الحالة],164)="مفتوح",INDEX(tblMeetings[أهم القرارات],164),""),"")</f>
        <v/>
      </c>
      <c r="T166" s="50" t="str">
        <f aca="false">IFERROR(IF(AND(INDEX(tblMeetings[تاريخ الاستحقاق],164)&lt;&gt;"",INDEX(tblMeetings[تاريخ الاستحقاق],164)&gt;=TODAY(),INDEX(tblMeetings[تاريخ الاستحقاق],164)&lt;=TODAY()+14,INDEX(tblMeetings[الحالة],164)&lt;&gt;"مغلق"),INDEX(tblMeetings[الإجراءات المطلوبة],164),""),"")</f>
        <v/>
      </c>
      <c r="V166" s="50" t="str">
        <f aca="false">IF(Q166="",V165,IF(V165="",Q166,V165&amp;"،  "&amp;Q166))</f>
        <v>مصفوفة الصلاحيات الشاملة</v>
      </c>
      <c r="W166" s="50" t="str">
        <f aca="false">IF(R166="",W165,IF(W165="",R166,W165&amp;"،  "&amp;R166))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6" s="50" t="str">
        <f aca="false">IF(S166="",X165,IF(X165="",S166,X165&amp;"،  "&amp;S166))</f>
        <v>مراجعة حالة المخرجات المتأخرة،  الموافقة على رفع لوائح اللجان للمجلس</v>
      </c>
      <c r="Y166" s="50" t="str">
        <f aca="false">IF(T166="",Y165,IF(Y165="",T166,Y165&amp;"،  "&amp;T166))</f>
        <v>تسريع اعتماد مصفوفة الصلاحيات الشاملة،  جدولة جلسة اعتماد لائحة مجلس الإدارة</v>
      </c>
    </row>
    <row r="167" customFormat="false" ht="15" hidden="false" customHeight="false" outlineLevel="0" collapsed="false">
      <c r="Q167" s="50" t="str">
        <f aca="false">IFERROR(IF(INDEX(tblDeliverables[مؤشر الالتزام الزمني],165)="متأخر",INDEX(tblDeliverables[المخرج],165),""),"")</f>
        <v/>
      </c>
      <c r="R167" s="50" t="str">
        <f aca="false">IFERROR(IF(AND(INDEX(tblDeliverables[الأولوية],165)="عالية",INDEX(tblDeliverables[الحالة الحالية],165)&lt;&gt;"معتمد ونافذ",INDEX(tblDeliverables[المخرج],165)&lt;&gt;""),INDEX(tblDeliverables[المخرج],165),""),"")</f>
        <v/>
      </c>
      <c r="S167" s="50" t="str">
        <f aca="false">IFERROR(IF(INDEX(tblMeetings[الحالة],165)="مفتوح",INDEX(tblMeetings[أهم القرارات],165),""),"")</f>
        <v/>
      </c>
      <c r="T167" s="50" t="str">
        <f aca="false">IFERROR(IF(AND(INDEX(tblMeetings[تاريخ الاستحقاق],165)&lt;&gt;"",INDEX(tblMeetings[تاريخ الاستحقاق],165)&gt;=TODAY(),INDEX(tblMeetings[تاريخ الاستحقاق],165)&lt;=TODAY()+14,INDEX(tblMeetings[الحالة],165)&lt;&gt;"مغلق"),INDEX(tblMeetings[الإجراءات المطلوبة],165),""),"")</f>
        <v/>
      </c>
      <c r="V167" s="50" t="str">
        <f aca="false">IF(Q167="",V166,IF(V166="",Q167,V166&amp;"،  "&amp;Q167))</f>
        <v>مصفوفة الصلاحيات الشاملة</v>
      </c>
      <c r="W167" s="50" t="str">
        <f aca="false">IF(R167="",W166,IF(W166="",R167,W166&amp;"،  "&amp;R167))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7" s="50" t="str">
        <f aca="false">IF(S167="",X166,IF(X166="",S167,X166&amp;"،  "&amp;S167))</f>
        <v>مراجعة حالة المخرجات المتأخرة،  الموافقة على رفع لوائح اللجان للمجلس</v>
      </c>
      <c r="Y167" s="50" t="str">
        <f aca="false">IF(T167="",Y166,IF(Y166="",T167,Y166&amp;"،  "&amp;T167))</f>
        <v>تسريع اعتماد مصفوفة الصلاحيات الشاملة،  جدولة جلسة اعتماد لائحة مجلس الإدارة</v>
      </c>
    </row>
    <row r="168" customFormat="false" ht="15" hidden="false" customHeight="false" outlineLevel="0" collapsed="false">
      <c r="Q168" s="50" t="str">
        <f aca="false">IFERROR(IF(INDEX(tblDeliverables[مؤشر الالتزام الزمني],166)="متأخر",INDEX(tblDeliverables[المخرج],166),""),"")</f>
        <v/>
      </c>
      <c r="R168" s="50" t="str">
        <f aca="false">IFERROR(IF(AND(INDEX(tblDeliverables[الأولوية],166)="عالية",INDEX(tblDeliverables[الحالة الحالية],166)&lt;&gt;"معتمد ونافذ",INDEX(tblDeliverables[المخرج],166)&lt;&gt;""),INDEX(tblDeliverables[المخرج],166),""),"")</f>
        <v/>
      </c>
      <c r="S168" s="50" t="str">
        <f aca="false">IFERROR(IF(INDEX(tblMeetings[الحالة],166)="مفتوح",INDEX(tblMeetings[أهم القرارات],166),""),"")</f>
        <v/>
      </c>
      <c r="T168" s="50" t="str">
        <f aca="false">IFERROR(IF(AND(INDEX(tblMeetings[تاريخ الاستحقاق],166)&lt;&gt;"",INDEX(tblMeetings[تاريخ الاستحقاق],166)&gt;=TODAY(),INDEX(tblMeetings[تاريخ الاستحقاق],166)&lt;=TODAY()+14,INDEX(tblMeetings[الحالة],166)&lt;&gt;"مغلق"),INDEX(tblMeetings[الإجراءات المطلوبة],166),""),"")</f>
        <v/>
      </c>
      <c r="V168" s="50" t="str">
        <f aca="false">IF(Q168="",V167,IF(V167="",Q168,V167&amp;"،  "&amp;Q168))</f>
        <v>مصفوفة الصلاحيات الشاملة</v>
      </c>
      <c r="W168" s="50" t="str">
        <f aca="false">IF(R168="",W167,IF(W167="",R168,W167&amp;"،  "&amp;R168))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8" s="50" t="str">
        <f aca="false">IF(S168="",X167,IF(X167="",S168,X167&amp;"،  "&amp;S168))</f>
        <v>مراجعة حالة المخرجات المتأخرة،  الموافقة على رفع لوائح اللجان للمجلس</v>
      </c>
      <c r="Y168" s="50" t="str">
        <f aca="false">IF(T168="",Y167,IF(Y167="",T168,Y167&amp;"،  "&amp;T168))</f>
        <v>تسريع اعتماد مصفوفة الصلاحيات الشاملة،  جدولة جلسة اعتماد لائحة مجلس الإدارة</v>
      </c>
    </row>
    <row r="169" customFormat="false" ht="15" hidden="false" customHeight="false" outlineLevel="0" collapsed="false">
      <c r="Q169" s="50" t="str">
        <f aca="false">IFERROR(IF(INDEX(tblDeliverables[مؤشر الالتزام الزمني],167)="متأخر",INDEX(tblDeliverables[المخرج],167),""),"")</f>
        <v/>
      </c>
      <c r="R169" s="50" t="str">
        <f aca="false">IFERROR(IF(AND(INDEX(tblDeliverables[الأولوية],167)="عالية",INDEX(tblDeliverables[الحالة الحالية],167)&lt;&gt;"معتمد ونافذ",INDEX(tblDeliverables[المخرج],167)&lt;&gt;""),INDEX(tblDeliverables[المخرج],167),""),"")</f>
        <v/>
      </c>
      <c r="S169" s="50" t="str">
        <f aca="false">IFERROR(IF(INDEX(tblMeetings[الحالة],167)="مفتوح",INDEX(tblMeetings[أهم القرارات],167),""),"")</f>
        <v/>
      </c>
      <c r="T169" s="50" t="str">
        <f aca="false">IFERROR(IF(AND(INDEX(tblMeetings[تاريخ الاستحقاق],167)&lt;&gt;"",INDEX(tblMeetings[تاريخ الاستحقاق],167)&gt;=TODAY(),INDEX(tblMeetings[تاريخ الاستحقاق],167)&lt;=TODAY()+14,INDEX(tblMeetings[الحالة],167)&lt;&gt;"مغلق"),INDEX(tblMeetings[الإجراءات المطلوبة],167),""),"")</f>
        <v/>
      </c>
      <c r="V169" s="50" t="str">
        <f aca="false">IF(Q169="",V168,IF(V168="",Q169,V168&amp;"،  "&amp;Q169))</f>
        <v>مصفوفة الصلاحيات الشاملة</v>
      </c>
      <c r="W169" s="50" t="str">
        <f aca="false">IF(R169="",W168,IF(W168="",R169,W168&amp;"،  "&amp;R169))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69" s="50" t="str">
        <f aca="false">IF(S169="",X168,IF(X168="",S169,X168&amp;"،  "&amp;S169))</f>
        <v>مراجعة حالة المخرجات المتأخرة،  الموافقة على رفع لوائح اللجان للمجلس</v>
      </c>
      <c r="Y169" s="50" t="str">
        <f aca="false">IF(T169="",Y168,IF(Y168="",T169,Y168&amp;"،  "&amp;T169))</f>
        <v>تسريع اعتماد مصفوفة الصلاحيات الشاملة،  جدولة جلسة اعتماد لائحة مجلس الإدارة</v>
      </c>
    </row>
    <row r="170" customFormat="false" ht="15" hidden="false" customHeight="false" outlineLevel="0" collapsed="false">
      <c r="Q170" s="50" t="str">
        <f aca="false">IFERROR(IF(INDEX(tblDeliverables[مؤشر الالتزام الزمني],168)="متأخر",INDEX(tblDeliverables[المخرج],168),""),"")</f>
        <v/>
      </c>
      <c r="R170" s="50" t="str">
        <f aca="false">IFERROR(IF(AND(INDEX(tblDeliverables[الأولوية],168)="عالية",INDEX(tblDeliverables[الحالة الحالية],168)&lt;&gt;"معتمد ونافذ",INDEX(tblDeliverables[المخرج],168)&lt;&gt;""),INDEX(tblDeliverables[المخرج],168),""),"")</f>
        <v/>
      </c>
      <c r="S170" s="50" t="str">
        <f aca="false">IFERROR(IF(INDEX(tblMeetings[الحالة],168)="مفتوح",INDEX(tblMeetings[أهم القرارات],168),""),"")</f>
        <v/>
      </c>
      <c r="T170" s="50" t="str">
        <f aca="false">IFERROR(IF(AND(INDEX(tblMeetings[تاريخ الاستحقاق],168)&lt;&gt;"",INDEX(tblMeetings[تاريخ الاستحقاق],168)&gt;=TODAY(),INDEX(tblMeetings[تاريخ الاستحقاق],168)&lt;=TODAY()+14,INDEX(tblMeetings[الحالة],168)&lt;&gt;"مغلق"),INDEX(tblMeetings[الإجراءات المطلوبة],168),""),"")</f>
        <v/>
      </c>
      <c r="V170" s="50" t="str">
        <f aca="false">IF(Q170="",V169,IF(V169="",Q170,V169&amp;"،  "&amp;Q170))</f>
        <v>مصفوفة الصلاحيات الشاملة</v>
      </c>
      <c r="W170" s="50" t="str">
        <f aca="false">IF(R170="",W169,IF(W169="",R170,W169&amp;"،  "&amp;R170))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0" s="50" t="str">
        <f aca="false">IF(S170="",X169,IF(X169="",S170,X169&amp;"،  "&amp;S170))</f>
        <v>مراجعة حالة المخرجات المتأخرة،  الموافقة على رفع لوائح اللجان للمجلس</v>
      </c>
      <c r="Y170" s="50" t="str">
        <f aca="false">IF(T170="",Y169,IF(Y169="",T170,Y169&amp;"،  "&amp;T170))</f>
        <v>تسريع اعتماد مصفوفة الصلاحيات الشاملة،  جدولة جلسة اعتماد لائحة مجلس الإدارة</v>
      </c>
    </row>
    <row r="171" customFormat="false" ht="15" hidden="false" customHeight="false" outlineLevel="0" collapsed="false">
      <c r="Q171" s="50" t="str">
        <f aca="false">IFERROR(IF(INDEX(tblDeliverables[مؤشر الالتزام الزمني],169)="متأخر",INDEX(tblDeliverables[المخرج],169),""),"")</f>
        <v/>
      </c>
      <c r="R171" s="50" t="str">
        <f aca="false">IFERROR(IF(AND(INDEX(tblDeliverables[الأولوية],169)="عالية",INDEX(tblDeliverables[الحالة الحالية],169)&lt;&gt;"معتمد ونافذ",INDEX(tblDeliverables[المخرج],169)&lt;&gt;""),INDEX(tblDeliverables[المخرج],169),""),"")</f>
        <v/>
      </c>
      <c r="S171" s="50" t="str">
        <f aca="false">IFERROR(IF(INDEX(tblMeetings[الحالة],169)="مفتوح",INDEX(tblMeetings[أهم القرارات],169),""),"")</f>
        <v/>
      </c>
      <c r="T171" s="50" t="str">
        <f aca="false">IFERROR(IF(AND(INDEX(tblMeetings[تاريخ الاستحقاق],169)&lt;&gt;"",INDEX(tblMeetings[تاريخ الاستحقاق],169)&gt;=TODAY(),INDEX(tblMeetings[تاريخ الاستحقاق],169)&lt;=TODAY()+14,INDEX(tblMeetings[الحالة],169)&lt;&gt;"مغلق"),INDEX(tblMeetings[الإجراءات المطلوبة],169),""),"")</f>
        <v/>
      </c>
      <c r="V171" s="50" t="str">
        <f aca="false">IF(Q171="",V170,IF(V170="",Q171,V170&amp;"،  "&amp;Q171))</f>
        <v>مصفوفة الصلاحيات الشاملة</v>
      </c>
      <c r="W171" s="50" t="str">
        <f aca="false">IF(R171="",W170,IF(W170="",R171,W170&amp;"،  "&amp;R171))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1" s="50" t="str">
        <f aca="false">IF(S171="",X170,IF(X170="",S171,X170&amp;"،  "&amp;S171))</f>
        <v>مراجعة حالة المخرجات المتأخرة،  الموافقة على رفع لوائح اللجان للمجلس</v>
      </c>
      <c r="Y171" s="50" t="str">
        <f aca="false">IF(T171="",Y170,IF(Y170="",T171,Y170&amp;"،  "&amp;T171))</f>
        <v>تسريع اعتماد مصفوفة الصلاحيات الشاملة،  جدولة جلسة اعتماد لائحة مجلس الإدارة</v>
      </c>
    </row>
    <row r="172" customFormat="false" ht="15" hidden="false" customHeight="false" outlineLevel="0" collapsed="false">
      <c r="Q172" s="50" t="str">
        <f aca="false">IFERROR(IF(INDEX(tblDeliverables[مؤشر الالتزام الزمني],170)="متأخر",INDEX(tblDeliverables[المخرج],170),""),"")</f>
        <v/>
      </c>
      <c r="R172" s="50" t="str">
        <f aca="false">IFERROR(IF(AND(INDEX(tblDeliverables[الأولوية],170)="عالية",INDEX(tblDeliverables[الحالة الحالية],170)&lt;&gt;"معتمد ونافذ",INDEX(tblDeliverables[المخرج],170)&lt;&gt;""),INDEX(tblDeliverables[المخرج],170),""),"")</f>
        <v/>
      </c>
      <c r="S172" s="50" t="str">
        <f aca="false">IFERROR(IF(INDEX(tblMeetings[الحالة],170)="مفتوح",INDEX(tblMeetings[أهم القرارات],170),""),"")</f>
        <v/>
      </c>
      <c r="T172" s="50" t="str">
        <f aca="false">IFERROR(IF(AND(INDEX(tblMeetings[تاريخ الاستحقاق],170)&lt;&gt;"",INDEX(tblMeetings[تاريخ الاستحقاق],170)&gt;=TODAY(),INDEX(tblMeetings[تاريخ الاستحقاق],170)&lt;=TODAY()+14,INDEX(tblMeetings[الحالة],170)&lt;&gt;"مغلق"),INDEX(tblMeetings[الإجراءات المطلوبة],170),""),"")</f>
        <v/>
      </c>
      <c r="V172" s="50" t="str">
        <f aca="false">IF(Q172="",V171,IF(V171="",Q172,V171&amp;"،  "&amp;Q172))</f>
        <v>مصفوفة الصلاحيات الشاملة</v>
      </c>
      <c r="W172" s="50" t="str">
        <f aca="false">IF(R172="",W171,IF(W171="",R172,W171&amp;"،  "&amp;R172))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2" s="50" t="str">
        <f aca="false">IF(S172="",X171,IF(X171="",S172,X171&amp;"،  "&amp;S172))</f>
        <v>مراجعة حالة المخرجات المتأخرة،  الموافقة على رفع لوائح اللجان للمجلس</v>
      </c>
      <c r="Y172" s="50" t="str">
        <f aca="false">IF(T172="",Y171,IF(Y171="",T172,Y171&amp;"،  "&amp;T172))</f>
        <v>تسريع اعتماد مصفوفة الصلاحيات الشاملة،  جدولة جلسة اعتماد لائحة مجلس الإدارة</v>
      </c>
    </row>
    <row r="173" customFormat="false" ht="15" hidden="false" customHeight="false" outlineLevel="0" collapsed="false">
      <c r="Q173" s="50" t="str">
        <f aca="false">IFERROR(IF(INDEX(tblDeliverables[مؤشر الالتزام الزمني],171)="متأخر",INDEX(tblDeliverables[المخرج],171),""),"")</f>
        <v/>
      </c>
      <c r="R173" s="50" t="str">
        <f aca="false">IFERROR(IF(AND(INDEX(tblDeliverables[الأولوية],171)="عالية",INDEX(tblDeliverables[الحالة الحالية],171)&lt;&gt;"معتمد ونافذ",INDEX(tblDeliverables[المخرج],171)&lt;&gt;""),INDEX(tblDeliverables[المخرج],171),""),"")</f>
        <v/>
      </c>
      <c r="S173" s="50" t="str">
        <f aca="false">IFERROR(IF(INDEX(tblMeetings[الحالة],171)="مفتوح",INDEX(tblMeetings[أهم القرارات],171),""),"")</f>
        <v/>
      </c>
      <c r="T173" s="50" t="str">
        <f aca="false">IFERROR(IF(AND(INDEX(tblMeetings[تاريخ الاستحقاق],171)&lt;&gt;"",INDEX(tblMeetings[تاريخ الاستحقاق],171)&gt;=TODAY(),INDEX(tblMeetings[تاريخ الاستحقاق],171)&lt;=TODAY()+14,INDEX(tblMeetings[الحالة],171)&lt;&gt;"مغلق"),INDEX(tblMeetings[الإجراءات المطلوبة],171),""),"")</f>
        <v/>
      </c>
      <c r="V173" s="50" t="str">
        <f aca="false">IF(Q173="",V172,IF(V172="",Q173,V172&amp;"،  "&amp;Q173))</f>
        <v>مصفوفة الصلاحيات الشاملة</v>
      </c>
      <c r="W173" s="50" t="str">
        <f aca="false">IF(R173="",W172,IF(W172="",R173,W172&amp;"،  "&amp;R173))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3" s="50" t="str">
        <f aca="false">IF(S173="",X172,IF(X172="",S173,X172&amp;"،  "&amp;S173))</f>
        <v>مراجعة حالة المخرجات المتأخرة،  الموافقة على رفع لوائح اللجان للمجلس</v>
      </c>
      <c r="Y173" s="50" t="str">
        <f aca="false">IF(T173="",Y172,IF(Y172="",T173,Y172&amp;"،  "&amp;T173))</f>
        <v>تسريع اعتماد مصفوفة الصلاحيات الشاملة،  جدولة جلسة اعتماد لائحة مجلس الإدارة</v>
      </c>
    </row>
    <row r="174" customFormat="false" ht="15" hidden="false" customHeight="false" outlineLevel="0" collapsed="false">
      <c r="Q174" s="50" t="str">
        <f aca="false">IFERROR(IF(INDEX(tblDeliverables[مؤشر الالتزام الزمني],172)="متأخر",INDEX(tblDeliverables[المخرج],172),""),"")</f>
        <v/>
      </c>
      <c r="R174" s="50" t="str">
        <f aca="false">IFERROR(IF(AND(INDEX(tblDeliverables[الأولوية],172)="عالية",INDEX(tblDeliverables[الحالة الحالية],172)&lt;&gt;"معتمد ونافذ",INDEX(tblDeliverables[المخرج],172)&lt;&gt;""),INDEX(tblDeliverables[المخرج],172),""),"")</f>
        <v/>
      </c>
      <c r="S174" s="50" t="str">
        <f aca="false">IFERROR(IF(INDEX(tblMeetings[الحالة],172)="مفتوح",INDEX(tblMeetings[أهم القرارات],172),""),"")</f>
        <v/>
      </c>
      <c r="T174" s="50" t="str">
        <f aca="false">IFERROR(IF(AND(INDEX(tblMeetings[تاريخ الاستحقاق],172)&lt;&gt;"",INDEX(tblMeetings[تاريخ الاستحقاق],172)&gt;=TODAY(),INDEX(tblMeetings[تاريخ الاستحقاق],172)&lt;=TODAY()+14,INDEX(tblMeetings[الحالة],172)&lt;&gt;"مغلق"),INDEX(tblMeetings[الإجراءات المطلوبة],172),""),"")</f>
        <v/>
      </c>
      <c r="V174" s="50" t="str">
        <f aca="false">IF(Q174="",V173,IF(V173="",Q174,V173&amp;"،  "&amp;Q174))</f>
        <v>مصفوفة الصلاحيات الشاملة</v>
      </c>
      <c r="W174" s="50" t="str">
        <f aca="false">IF(R174="",W173,IF(W173="",R174,W173&amp;"،  "&amp;R174))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4" s="50" t="str">
        <f aca="false">IF(S174="",X173,IF(X173="",S174,X173&amp;"،  "&amp;S174))</f>
        <v>مراجعة حالة المخرجات المتأخرة،  الموافقة على رفع لوائح اللجان للمجلس</v>
      </c>
      <c r="Y174" s="50" t="str">
        <f aca="false">IF(T174="",Y173,IF(Y173="",T174,Y173&amp;"،  "&amp;T174))</f>
        <v>تسريع اعتماد مصفوفة الصلاحيات الشاملة،  جدولة جلسة اعتماد لائحة مجلس الإدارة</v>
      </c>
    </row>
    <row r="175" customFormat="false" ht="15" hidden="false" customHeight="false" outlineLevel="0" collapsed="false">
      <c r="Q175" s="50" t="str">
        <f aca="false">IFERROR(IF(INDEX(tblDeliverables[مؤشر الالتزام الزمني],173)="متأخر",INDEX(tblDeliverables[المخرج],173),""),"")</f>
        <v/>
      </c>
      <c r="R175" s="50" t="str">
        <f aca="false">IFERROR(IF(AND(INDEX(tblDeliverables[الأولوية],173)="عالية",INDEX(tblDeliverables[الحالة الحالية],173)&lt;&gt;"معتمد ونافذ",INDEX(tblDeliverables[المخرج],173)&lt;&gt;""),INDEX(tblDeliverables[المخرج],173),""),"")</f>
        <v/>
      </c>
      <c r="S175" s="50" t="str">
        <f aca="false">IFERROR(IF(INDEX(tblMeetings[الحالة],173)="مفتوح",INDEX(tblMeetings[أهم القرارات],173),""),"")</f>
        <v/>
      </c>
      <c r="T175" s="50" t="str">
        <f aca="false">IFERROR(IF(AND(INDEX(tblMeetings[تاريخ الاستحقاق],173)&lt;&gt;"",INDEX(tblMeetings[تاريخ الاستحقاق],173)&gt;=TODAY(),INDEX(tblMeetings[تاريخ الاستحقاق],173)&lt;=TODAY()+14,INDEX(tblMeetings[الحالة],173)&lt;&gt;"مغلق"),INDEX(tblMeetings[الإجراءات المطلوبة],173),""),"")</f>
        <v/>
      </c>
      <c r="V175" s="50" t="str">
        <f aca="false">IF(Q175="",V174,IF(V174="",Q175,V174&amp;"،  "&amp;Q175))</f>
        <v>مصفوفة الصلاحيات الشاملة</v>
      </c>
      <c r="W175" s="50" t="str">
        <f aca="false">IF(R175="",W174,IF(W174="",R175,W174&amp;"،  "&amp;R175))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5" s="50" t="str">
        <f aca="false">IF(S175="",X174,IF(X174="",S175,X174&amp;"،  "&amp;S175))</f>
        <v>مراجعة حالة المخرجات المتأخرة،  الموافقة على رفع لوائح اللجان للمجلس</v>
      </c>
      <c r="Y175" s="50" t="str">
        <f aca="false">IF(T175="",Y174,IF(Y174="",T175,Y174&amp;"،  "&amp;T175))</f>
        <v>تسريع اعتماد مصفوفة الصلاحيات الشاملة،  جدولة جلسة اعتماد لائحة مجلس الإدارة</v>
      </c>
    </row>
    <row r="176" customFormat="false" ht="15" hidden="false" customHeight="false" outlineLevel="0" collapsed="false">
      <c r="Q176" s="50" t="str">
        <f aca="false">IFERROR(IF(INDEX(tblDeliverables[مؤشر الالتزام الزمني],174)="متأخر",INDEX(tblDeliverables[المخرج],174),""),"")</f>
        <v/>
      </c>
      <c r="R176" s="50" t="str">
        <f aca="false">IFERROR(IF(AND(INDEX(tblDeliverables[الأولوية],174)="عالية",INDEX(tblDeliverables[الحالة الحالية],174)&lt;&gt;"معتمد ونافذ",INDEX(tblDeliverables[المخرج],174)&lt;&gt;""),INDEX(tblDeliverables[المخرج],174),""),"")</f>
        <v/>
      </c>
      <c r="S176" s="50" t="str">
        <f aca="false">IFERROR(IF(INDEX(tblMeetings[الحالة],174)="مفتوح",INDEX(tblMeetings[أهم القرارات],174),""),"")</f>
        <v/>
      </c>
      <c r="T176" s="50" t="str">
        <f aca="false">IFERROR(IF(AND(INDEX(tblMeetings[تاريخ الاستحقاق],174)&lt;&gt;"",INDEX(tblMeetings[تاريخ الاستحقاق],174)&gt;=TODAY(),INDEX(tblMeetings[تاريخ الاستحقاق],174)&lt;=TODAY()+14,INDEX(tblMeetings[الحالة],174)&lt;&gt;"مغلق"),INDEX(tblMeetings[الإجراءات المطلوبة],174),""),"")</f>
        <v/>
      </c>
      <c r="V176" s="50" t="str">
        <f aca="false">IF(Q176="",V175,IF(V175="",Q176,V175&amp;"،  "&amp;Q176))</f>
        <v>مصفوفة الصلاحيات الشاملة</v>
      </c>
      <c r="W176" s="50" t="str">
        <f aca="false">IF(R176="",W175,IF(W175="",R176,W175&amp;"،  "&amp;R176))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6" s="50" t="str">
        <f aca="false">IF(S176="",X175,IF(X175="",S176,X175&amp;"،  "&amp;S176))</f>
        <v>مراجعة حالة المخرجات المتأخرة،  الموافقة على رفع لوائح اللجان للمجلس</v>
      </c>
      <c r="Y176" s="50" t="str">
        <f aca="false">IF(T176="",Y175,IF(Y175="",T176,Y175&amp;"،  "&amp;T176))</f>
        <v>تسريع اعتماد مصفوفة الصلاحيات الشاملة،  جدولة جلسة اعتماد لائحة مجلس الإدارة</v>
      </c>
    </row>
    <row r="177" customFormat="false" ht="15" hidden="false" customHeight="false" outlineLevel="0" collapsed="false">
      <c r="Q177" s="50" t="str">
        <f aca="false">IFERROR(IF(INDEX(tblDeliverables[مؤشر الالتزام الزمني],175)="متأخر",INDEX(tblDeliverables[المخرج],175),""),"")</f>
        <v/>
      </c>
      <c r="R177" s="50" t="str">
        <f aca="false">IFERROR(IF(AND(INDEX(tblDeliverables[الأولوية],175)="عالية",INDEX(tblDeliverables[الحالة الحالية],175)&lt;&gt;"معتمد ونافذ",INDEX(tblDeliverables[المخرج],175)&lt;&gt;""),INDEX(tblDeliverables[المخرج],175),""),"")</f>
        <v/>
      </c>
      <c r="S177" s="50" t="str">
        <f aca="false">IFERROR(IF(INDEX(tblMeetings[الحالة],175)="مفتوح",INDEX(tblMeetings[أهم القرارات],175),""),"")</f>
        <v/>
      </c>
      <c r="T177" s="50" t="str">
        <f aca="false">IFERROR(IF(AND(INDEX(tblMeetings[تاريخ الاستحقاق],175)&lt;&gt;"",INDEX(tblMeetings[تاريخ الاستحقاق],175)&gt;=TODAY(),INDEX(tblMeetings[تاريخ الاستحقاق],175)&lt;=TODAY()+14,INDEX(tblMeetings[الحالة],175)&lt;&gt;"مغلق"),INDEX(tblMeetings[الإجراءات المطلوبة],175),""),"")</f>
        <v/>
      </c>
      <c r="V177" s="50" t="str">
        <f aca="false">IF(Q177="",V176,IF(V176="",Q177,V176&amp;"،  "&amp;Q177))</f>
        <v>مصفوفة الصلاحيات الشاملة</v>
      </c>
      <c r="W177" s="50" t="str">
        <f aca="false">IF(R177="",W176,IF(W176="",R177,W176&amp;"،  "&amp;R177))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7" s="50" t="str">
        <f aca="false">IF(S177="",X176,IF(X176="",S177,X176&amp;"،  "&amp;S177))</f>
        <v>مراجعة حالة المخرجات المتأخرة،  الموافقة على رفع لوائح اللجان للمجلس</v>
      </c>
      <c r="Y177" s="50" t="str">
        <f aca="false">IF(T177="",Y176,IF(Y176="",T177,Y176&amp;"،  "&amp;T177))</f>
        <v>تسريع اعتماد مصفوفة الصلاحيات الشاملة،  جدولة جلسة اعتماد لائحة مجلس الإدارة</v>
      </c>
    </row>
    <row r="178" customFormat="false" ht="15" hidden="false" customHeight="false" outlineLevel="0" collapsed="false">
      <c r="Q178" s="50" t="str">
        <f aca="false">IFERROR(IF(INDEX(tblDeliverables[مؤشر الالتزام الزمني],176)="متأخر",INDEX(tblDeliverables[المخرج],176),""),"")</f>
        <v/>
      </c>
      <c r="R178" s="50" t="str">
        <f aca="false">IFERROR(IF(AND(INDEX(tblDeliverables[الأولوية],176)="عالية",INDEX(tblDeliverables[الحالة الحالية],176)&lt;&gt;"معتمد ونافذ",INDEX(tblDeliverables[المخرج],176)&lt;&gt;""),INDEX(tblDeliverables[المخرج],176),""),"")</f>
        <v/>
      </c>
      <c r="S178" s="50" t="str">
        <f aca="false">IFERROR(IF(INDEX(tblMeetings[الحالة],176)="مفتوح",INDEX(tblMeetings[أهم القرارات],176),""),"")</f>
        <v/>
      </c>
      <c r="T178" s="50" t="str">
        <f aca="false">IFERROR(IF(AND(INDEX(tblMeetings[تاريخ الاستحقاق],176)&lt;&gt;"",INDEX(tblMeetings[تاريخ الاستحقاق],176)&gt;=TODAY(),INDEX(tblMeetings[تاريخ الاستحقاق],176)&lt;=TODAY()+14,INDEX(tblMeetings[الحالة],176)&lt;&gt;"مغلق"),INDEX(tblMeetings[الإجراءات المطلوبة],176),""),"")</f>
        <v/>
      </c>
      <c r="V178" s="50" t="str">
        <f aca="false">IF(Q178="",V177,IF(V177="",Q178,V177&amp;"،  "&amp;Q178))</f>
        <v>مصفوفة الصلاحيات الشاملة</v>
      </c>
      <c r="W178" s="50" t="str">
        <f aca="false">IF(R178="",W177,IF(W177="",R178,W177&amp;"،  "&amp;R178))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8" s="50" t="str">
        <f aca="false">IF(S178="",X177,IF(X177="",S178,X177&amp;"،  "&amp;S178))</f>
        <v>مراجعة حالة المخرجات المتأخرة،  الموافقة على رفع لوائح اللجان للمجلس</v>
      </c>
      <c r="Y178" s="50" t="str">
        <f aca="false">IF(T178="",Y177,IF(Y177="",T178,Y177&amp;"،  "&amp;T178))</f>
        <v>تسريع اعتماد مصفوفة الصلاحيات الشاملة،  جدولة جلسة اعتماد لائحة مجلس الإدارة</v>
      </c>
    </row>
    <row r="179" customFormat="false" ht="15" hidden="false" customHeight="false" outlineLevel="0" collapsed="false">
      <c r="Q179" s="50" t="str">
        <f aca="false">IFERROR(IF(INDEX(tblDeliverables[مؤشر الالتزام الزمني],177)="متأخر",INDEX(tblDeliverables[المخرج],177),""),"")</f>
        <v/>
      </c>
      <c r="R179" s="50" t="str">
        <f aca="false">IFERROR(IF(AND(INDEX(tblDeliverables[الأولوية],177)="عالية",INDEX(tblDeliverables[الحالة الحالية],177)&lt;&gt;"معتمد ونافذ",INDEX(tblDeliverables[المخرج],177)&lt;&gt;""),INDEX(tblDeliverables[المخرج],177),""),"")</f>
        <v/>
      </c>
      <c r="S179" s="50" t="str">
        <f aca="false">IFERROR(IF(INDEX(tblMeetings[الحالة],177)="مفتوح",INDEX(tblMeetings[أهم القرارات],177),""),"")</f>
        <v/>
      </c>
      <c r="T179" s="50" t="str">
        <f aca="false">IFERROR(IF(AND(INDEX(tblMeetings[تاريخ الاستحقاق],177)&lt;&gt;"",INDEX(tblMeetings[تاريخ الاستحقاق],177)&gt;=TODAY(),INDEX(tblMeetings[تاريخ الاستحقاق],177)&lt;=TODAY()+14,INDEX(tblMeetings[الحالة],177)&lt;&gt;"مغلق"),INDEX(tblMeetings[الإجراءات المطلوبة],177),""),"")</f>
        <v/>
      </c>
      <c r="V179" s="50" t="str">
        <f aca="false">IF(Q179="",V178,IF(V178="",Q179,V178&amp;"،  "&amp;Q179))</f>
        <v>مصفوفة الصلاحيات الشاملة</v>
      </c>
      <c r="W179" s="50" t="str">
        <f aca="false">IF(R179="",W178,IF(W178="",R179,W178&amp;"،  "&amp;R179))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79" s="50" t="str">
        <f aca="false">IF(S179="",X178,IF(X178="",S179,X178&amp;"،  "&amp;S179))</f>
        <v>مراجعة حالة المخرجات المتأخرة،  الموافقة على رفع لوائح اللجان للمجلس</v>
      </c>
      <c r="Y179" s="50" t="str">
        <f aca="false">IF(T179="",Y178,IF(Y178="",T179,Y178&amp;"،  "&amp;T179))</f>
        <v>تسريع اعتماد مصفوفة الصلاحيات الشاملة،  جدولة جلسة اعتماد لائحة مجلس الإدارة</v>
      </c>
    </row>
    <row r="180" customFormat="false" ht="15" hidden="false" customHeight="false" outlineLevel="0" collapsed="false">
      <c r="Q180" s="50" t="str">
        <f aca="false">IFERROR(IF(INDEX(tblDeliverables[مؤشر الالتزام الزمني],178)="متأخر",INDEX(tblDeliverables[المخرج],178),""),"")</f>
        <v/>
      </c>
      <c r="R180" s="50" t="str">
        <f aca="false">IFERROR(IF(AND(INDEX(tblDeliverables[الأولوية],178)="عالية",INDEX(tblDeliverables[الحالة الحالية],178)&lt;&gt;"معتمد ونافذ",INDEX(tblDeliverables[المخرج],178)&lt;&gt;""),INDEX(tblDeliverables[المخرج],178),""),"")</f>
        <v/>
      </c>
      <c r="S180" s="50" t="str">
        <f aca="false">IFERROR(IF(INDEX(tblMeetings[الحالة],178)="مفتوح",INDEX(tblMeetings[أهم القرارات],178),""),"")</f>
        <v/>
      </c>
      <c r="T180" s="50" t="str">
        <f aca="false">IFERROR(IF(AND(INDEX(tblMeetings[تاريخ الاستحقاق],178)&lt;&gt;"",INDEX(tblMeetings[تاريخ الاستحقاق],178)&gt;=TODAY(),INDEX(tblMeetings[تاريخ الاستحقاق],178)&lt;=TODAY()+14,INDEX(tblMeetings[الحالة],178)&lt;&gt;"مغلق"),INDEX(tblMeetings[الإجراءات المطلوبة],178),""),"")</f>
        <v/>
      </c>
      <c r="V180" s="50" t="str">
        <f aca="false">IF(Q180="",V179,IF(V179="",Q180,V179&amp;"،  "&amp;Q180))</f>
        <v>مصفوفة الصلاحيات الشاملة</v>
      </c>
      <c r="W180" s="50" t="str">
        <f aca="false">IF(R180="",W179,IF(W179="",R180,W179&amp;"،  "&amp;R180))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0" s="50" t="str">
        <f aca="false">IF(S180="",X179,IF(X179="",S180,X179&amp;"،  "&amp;S180))</f>
        <v>مراجعة حالة المخرجات المتأخرة،  الموافقة على رفع لوائح اللجان للمجلس</v>
      </c>
      <c r="Y180" s="50" t="str">
        <f aca="false">IF(T180="",Y179,IF(Y179="",T180,Y179&amp;"،  "&amp;T180))</f>
        <v>تسريع اعتماد مصفوفة الصلاحيات الشاملة،  جدولة جلسة اعتماد لائحة مجلس الإدارة</v>
      </c>
    </row>
    <row r="181" customFormat="false" ht="15" hidden="false" customHeight="false" outlineLevel="0" collapsed="false">
      <c r="Q181" s="50" t="str">
        <f aca="false">IFERROR(IF(INDEX(tblDeliverables[مؤشر الالتزام الزمني],179)="متأخر",INDEX(tblDeliverables[المخرج],179),""),"")</f>
        <v/>
      </c>
      <c r="R181" s="50" t="str">
        <f aca="false">IFERROR(IF(AND(INDEX(tblDeliverables[الأولوية],179)="عالية",INDEX(tblDeliverables[الحالة الحالية],179)&lt;&gt;"معتمد ونافذ",INDEX(tblDeliverables[المخرج],179)&lt;&gt;""),INDEX(tblDeliverables[المخرج],179),""),"")</f>
        <v/>
      </c>
      <c r="S181" s="50" t="str">
        <f aca="false">IFERROR(IF(INDEX(tblMeetings[الحالة],179)="مفتوح",INDEX(tblMeetings[أهم القرارات],179),""),"")</f>
        <v/>
      </c>
      <c r="T181" s="50" t="str">
        <f aca="false">IFERROR(IF(AND(INDEX(tblMeetings[تاريخ الاستحقاق],179)&lt;&gt;"",INDEX(tblMeetings[تاريخ الاستحقاق],179)&gt;=TODAY(),INDEX(tblMeetings[تاريخ الاستحقاق],179)&lt;=TODAY()+14,INDEX(tblMeetings[الحالة],179)&lt;&gt;"مغلق"),INDEX(tblMeetings[الإجراءات المطلوبة],179),""),"")</f>
        <v/>
      </c>
      <c r="V181" s="50" t="str">
        <f aca="false">IF(Q181="",V180,IF(V180="",Q181,V180&amp;"،  "&amp;Q181))</f>
        <v>مصفوفة الصلاحيات الشاملة</v>
      </c>
      <c r="W181" s="50" t="str">
        <f aca="false">IF(R181="",W180,IF(W180="",R181,W180&amp;"،  "&amp;R181))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1" s="50" t="str">
        <f aca="false">IF(S181="",X180,IF(X180="",S181,X180&amp;"،  "&amp;S181))</f>
        <v>مراجعة حالة المخرجات المتأخرة،  الموافقة على رفع لوائح اللجان للمجلس</v>
      </c>
      <c r="Y181" s="50" t="str">
        <f aca="false">IF(T181="",Y180,IF(Y180="",T181,Y180&amp;"،  "&amp;T181))</f>
        <v>تسريع اعتماد مصفوفة الصلاحيات الشاملة،  جدولة جلسة اعتماد لائحة مجلس الإدارة</v>
      </c>
    </row>
    <row r="182" customFormat="false" ht="15" hidden="false" customHeight="false" outlineLevel="0" collapsed="false">
      <c r="Q182" s="50" t="str">
        <f aca="false">IFERROR(IF(INDEX(tblDeliverables[مؤشر الالتزام الزمني],180)="متأخر",INDEX(tblDeliverables[المخرج],180),""),"")</f>
        <v/>
      </c>
      <c r="R182" s="50" t="str">
        <f aca="false">IFERROR(IF(AND(INDEX(tblDeliverables[الأولوية],180)="عالية",INDEX(tblDeliverables[الحالة الحالية],180)&lt;&gt;"معتمد ونافذ",INDEX(tblDeliverables[المخرج],180)&lt;&gt;""),INDEX(tblDeliverables[المخرج],180),""),"")</f>
        <v/>
      </c>
      <c r="S182" s="50" t="str">
        <f aca="false">IFERROR(IF(INDEX(tblMeetings[الحالة],180)="مفتوح",INDEX(tblMeetings[أهم القرارات],180),""),"")</f>
        <v/>
      </c>
      <c r="T182" s="50" t="str">
        <f aca="false">IFERROR(IF(AND(INDEX(tblMeetings[تاريخ الاستحقاق],180)&lt;&gt;"",INDEX(tblMeetings[تاريخ الاستحقاق],180)&gt;=TODAY(),INDEX(tblMeetings[تاريخ الاستحقاق],180)&lt;=TODAY()+14,INDEX(tblMeetings[الحالة],180)&lt;&gt;"مغلق"),INDEX(tblMeetings[الإجراءات المطلوبة],180),""),"")</f>
        <v/>
      </c>
      <c r="V182" s="50" t="str">
        <f aca="false">IF(Q182="",V181,IF(V181="",Q182,V181&amp;"،  "&amp;Q182))</f>
        <v>مصفوفة الصلاحيات الشاملة</v>
      </c>
      <c r="W182" s="50" t="str">
        <f aca="false">IF(R182="",W181,IF(W181="",R182,W181&amp;"،  "&amp;R182))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2" s="50" t="str">
        <f aca="false">IF(S182="",X181,IF(X181="",S182,X181&amp;"،  "&amp;S182))</f>
        <v>مراجعة حالة المخرجات المتأخرة،  الموافقة على رفع لوائح اللجان للمجلس</v>
      </c>
      <c r="Y182" s="50" t="str">
        <f aca="false">IF(T182="",Y181,IF(Y181="",T182,Y181&amp;"،  "&amp;T182))</f>
        <v>تسريع اعتماد مصفوفة الصلاحيات الشاملة،  جدولة جلسة اعتماد لائحة مجلس الإدارة</v>
      </c>
    </row>
    <row r="183" customFormat="false" ht="15" hidden="false" customHeight="false" outlineLevel="0" collapsed="false">
      <c r="Q183" s="50" t="str">
        <f aca="false">IFERROR(IF(INDEX(tblDeliverables[مؤشر الالتزام الزمني],181)="متأخر",INDEX(tblDeliverables[المخرج],181),""),"")</f>
        <v/>
      </c>
      <c r="R183" s="50" t="str">
        <f aca="false">IFERROR(IF(AND(INDEX(tblDeliverables[الأولوية],181)="عالية",INDEX(tblDeliverables[الحالة الحالية],181)&lt;&gt;"معتمد ونافذ",INDEX(tblDeliverables[المخرج],181)&lt;&gt;""),INDEX(tblDeliverables[المخرج],181),""),"")</f>
        <v/>
      </c>
      <c r="S183" s="50" t="str">
        <f aca="false">IFERROR(IF(INDEX(tblMeetings[الحالة],181)="مفتوح",INDEX(tblMeetings[أهم القرارات],181),""),"")</f>
        <v/>
      </c>
      <c r="T183" s="50" t="str">
        <f aca="false">IFERROR(IF(AND(INDEX(tblMeetings[تاريخ الاستحقاق],181)&lt;&gt;"",INDEX(tblMeetings[تاريخ الاستحقاق],181)&gt;=TODAY(),INDEX(tblMeetings[تاريخ الاستحقاق],181)&lt;=TODAY()+14,INDEX(tblMeetings[الحالة],181)&lt;&gt;"مغلق"),INDEX(tblMeetings[الإجراءات المطلوبة],181),""),"")</f>
        <v/>
      </c>
      <c r="V183" s="50" t="str">
        <f aca="false">IF(Q183="",V182,IF(V182="",Q183,V182&amp;"،  "&amp;Q183))</f>
        <v>مصفوفة الصلاحيات الشاملة</v>
      </c>
      <c r="W183" s="50" t="str">
        <f aca="false">IF(R183="",W182,IF(W182="",R183,W182&amp;"،  "&amp;R183))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3" s="50" t="str">
        <f aca="false">IF(S183="",X182,IF(X182="",S183,X182&amp;"،  "&amp;S183))</f>
        <v>مراجعة حالة المخرجات المتأخرة،  الموافقة على رفع لوائح اللجان للمجلس</v>
      </c>
      <c r="Y183" s="50" t="str">
        <f aca="false">IF(T183="",Y182,IF(Y182="",T183,Y182&amp;"،  "&amp;T183))</f>
        <v>تسريع اعتماد مصفوفة الصلاحيات الشاملة،  جدولة جلسة اعتماد لائحة مجلس الإدارة</v>
      </c>
    </row>
    <row r="184" customFormat="false" ht="15" hidden="false" customHeight="false" outlineLevel="0" collapsed="false">
      <c r="Q184" s="50" t="str">
        <f aca="false">IFERROR(IF(INDEX(tblDeliverables[مؤشر الالتزام الزمني],182)="متأخر",INDEX(tblDeliverables[المخرج],182),""),"")</f>
        <v/>
      </c>
      <c r="R184" s="50" t="str">
        <f aca="false">IFERROR(IF(AND(INDEX(tblDeliverables[الأولوية],182)="عالية",INDEX(tblDeliverables[الحالة الحالية],182)&lt;&gt;"معتمد ونافذ",INDEX(tblDeliverables[المخرج],182)&lt;&gt;""),INDEX(tblDeliverables[المخرج],182),""),"")</f>
        <v/>
      </c>
      <c r="S184" s="50" t="str">
        <f aca="false">IFERROR(IF(INDEX(tblMeetings[الحالة],182)="مفتوح",INDEX(tblMeetings[أهم القرارات],182),""),"")</f>
        <v/>
      </c>
      <c r="T184" s="50" t="str">
        <f aca="false">IFERROR(IF(AND(INDEX(tblMeetings[تاريخ الاستحقاق],182)&lt;&gt;"",INDEX(tblMeetings[تاريخ الاستحقاق],182)&gt;=TODAY(),INDEX(tblMeetings[تاريخ الاستحقاق],182)&lt;=TODAY()+14,INDEX(tblMeetings[الحالة],182)&lt;&gt;"مغلق"),INDEX(tblMeetings[الإجراءات المطلوبة],182),""),"")</f>
        <v/>
      </c>
      <c r="V184" s="50" t="str">
        <f aca="false">IF(Q184="",V183,IF(V183="",Q184,V183&amp;"،  "&amp;Q184))</f>
        <v>مصفوفة الصلاحيات الشاملة</v>
      </c>
      <c r="W184" s="50" t="str">
        <f aca="false">IF(R184="",W183,IF(W183="",R184,W183&amp;"،  "&amp;R184))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4" s="50" t="str">
        <f aca="false">IF(S184="",X183,IF(X183="",S184,X183&amp;"،  "&amp;S184))</f>
        <v>مراجعة حالة المخرجات المتأخرة،  الموافقة على رفع لوائح اللجان للمجلس</v>
      </c>
      <c r="Y184" s="50" t="str">
        <f aca="false">IF(T184="",Y183,IF(Y183="",T184,Y183&amp;"،  "&amp;T184))</f>
        <v>تسريع اعتماد مصفوفة الصلاحيات الشاملة،  جدولة جلسة اعتماد لائحة مجلس الإدارة</v>
      </c>
    </row>
    <row r="185" customFormat="false" ht="15" hidden="false" customHeight="false" outlineLevel="0" collapsed="false">
      <c r="Q185" s="50" t="str">
        <f aca="false">IFERROR(IF(INDEX(tblDeliverables[مؤشر الالتزام الزمني],183)="متأخر",INDEX(tblDeliverables[المخرج],183),""),"")</f>
        <v/>
      </c>
      <c r="R185" s="50" t="str">
        <f aca="false">IFERROR(IF(AND(INDEX(tblDeliverables[الأولوية],183)="عالية",INDEX(tblDeliverables[الحالة الحالية],183)&lt;&gt;"معتمد ونافذ",INDEX(tblDeliverables[المخرج],183)&lt;&gt;""),INDEX(tblDeliverables[المخرج],183),""),"")</f>
        <v/>
      </c>
      <c r="S185" s="50" t="str">
        <f aca="false">IFERROR(IF(INDEX(tblMeetings[الحالة],183)="مفتوح",INDEX(tblMeetings[أهم القرارات],183),""),"")</f>
        <v/>
      </c>
      <c r="T185" s="50" t="str">
        <f aca="false">IFERROR(IF(AND(INDEX(tblMeetings[تاريخ الاستحقاق],183)&lt;&gt;"",INDEX(tblMeetings[تاريخ الاستحقاق],183)&gt;=TODAY(),INDEX(tblMeetings[تاريخ الاستحقاق],183)&lt;=TODAY()+14,INDEX(tblMeetings[الحالة],183)&lt;&gt;"مغلق"),INDEX(tblMeetings[الإجراءات المطلوبة],183),""),"")</f>
        <v/>
      </c>
      <c r="V185" s="50" t="str">
        <f aca="false">IF(Q185="",V184,IF(V184="",Q185,V184&amp;"،  "&amp;Q185))</f>
        <v>مصفوفة الصلاحيات الشاملة</v>
      </c>
      <c r="W185" s="50" t="str">
        <f aca="false">IF(R185="",W184,IF(W184="",R185,W184&amp;"،  "&amp;R185))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5" s="50" t="str">
        <f aca="false">IF(S185="",X184,IF(X184="",S185,X184&amp;"،  "&amp;S185))</f>
        <v>مراجعة حالة المخرجات المتأخرة،  الموافقة على رفع لوائح اللجان للمجلس</v>
      </c>
      <c r="Y185" s="50" t="str">
        <f aca="false">IF(T185="",Y184,IF(Y184="",T185,Y184&amp;"،  "&amp;T185))</f>
        <v>تسريع اعتماد مصفوفة الصلاحيات الشاملة،  جدولة جلسة اعتماد لائحة مجلس الإدارة</v>
      </c>
    </row>
    <row r="186" customFormat="false" ht="15" hidden="false" customHeight="false" outlineLevel="0" collapsed="false">
      <c r="Q186" s="50" t="str">
        <f aca="false">IFERROR(IF(INDEX(tblDeliverables[مؤشر الالتزام الزمني],184)="متأخر",INDEX(tblDeliverables[المخرج],184),""),"")</f>
        <v/>
      </c>
      <c r="R186" s="50" t="str">
        <f aca="false">IFERROR(IF(AND(INDEX(tblDeliverables[الأولوية],184)="عالية",INDEX(tblDeliverables[الحالة الحالية],184)&lt;&gt;"معتمد ونافذ",INDEX(tblDeliverables[المخرج],184)&lt;&gt;""),INDEX(tblDeliverables[المخرج],184),""),"")</f>
        <v/>
      </c>
      <c r="S186" s="50" t="str">
        <f aca="false">IFERROR(IF(INDEX(tblMeetings[الحالة],184)="مفتوح",INDEX(tblMeetings[أهم القرارات],184),""),"")</f>
        <v/>
      </c>
      <c r="T186" s="50" t="str">
        <f aca="false">IFERROR(IF(AND(INDEX(tblMeetings[تاريخ الاستحقاق],184)&lt;&gt;"",INDEX(tblMeetings[تاريخ الاستحقاق],184)&gt;=TODAY(),INDEX(tblMeetings[تاريخ الاستحقاق],184)&lt;=TODAY()+14,INDEX(tblMeetings[الحالة],184)&lt;&gt;"مغلق"),INDEX(tblMeetings[الإجراءات المطلوبة],184),""),"")</f>
        <v/>
      </c>
      <c r="V186" s="50" t="str">
        <f aca="false">IF(Q186="",V185,IF(V185="",Q186,V185&amp;"،  "&amp;Q186))</f>
        <v>مصفوفة الصلاحيات الشاملة</v>
      </c>
      <c r="W186" s="50" t="str">
        <f aca="false">IF(R186="",W185,IF(W185="",R186,W185&amp;"،  "&amp;R186))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6" s="50" t="str">
        <f aca="false">IF(S186="",X185,IF(X185="",S186,X185&amp;"،  "&amp;S186))</f>
        <v>مراجعة حالة المخرجات المتأخرة،  الموافقة على رفع لوائح اللجان للمجلس</v>
      </c>
      <c r="Y186" s="50" t="str">
        <f aca="false">IF(T186="",Y185,IF(Y185="",T186,Y185&amp;"،  "&amp;T186))</f>
        <v>تسريع اعتماد مصفوفة الصلاحيات الشاملة،  جدولة جلسة اعتماد لائحة مجلس الإدارة</v>
      </c>
    </row>
    <row r="187" customFormat="false" ht="15" hidden="false" customHeight="false" outlineLevel="0" collapsed="false">
      <c r="Q187" s="50" t="str">
        <f aca="false">IFERROR(IF(INDEX(tblDeliverables[مؤشر الالتزام الزمني],185)="متأخر",INDEX(tblDeliverables[المخرج],185),""),"")</f>
        <v/>
      </c>
      <c r="R187" s="50" t="str">
        <f aca="false">IFERROR(IF(AND(INDEX(tblDeliverables[الأولوية],185)="عالية",INDEX(tblDeliverables[الحالة الحالية],185)&lt;&gt;"معتمد ونافذ",INDEX(tblDeliverables[المخرج],185)&lt;&gt;""),INDEX(tblDeliverables[المخرج],185),""),"")</f>
        <v/>
      </c>
      <c r="S187" s="50" t="str">
        <f aca="false">IFERROR(IF(INDEX(tblMeetings[الحالة],185)="مفتوح",INDEX(tblMeetings[أهم القرارات],185),""),"")</f>
        <v/>
      </c>
      <c r="T187" s="50" t="str">
        <f aca="false">IFERROR(IF(AND(INDEX(tblMeetings[تاريخ الاستحقاق],185)&lt;&gt;"",INDEX(tblMeetings[تاريخ الاستحقاق],185)&gt;=TODAY(),INDEX(tblMeetings[تاريخ الاستحقاق],185)&lt;=TODAY()+14,INDEX(tblMeetings[الحالة],185)&lt;&gt;"مغلق"),INDEX(tblMeetings[الإجراءات المطلوبة],185),""),"")</f>
        <v/>
      </c>
      <c r="V187" s="50" t="str">
        <f aca="false">IF(Q187="",V186,IF(V186="",Q187,V186&amp;"،  "&amp;Q187))</f>
        <v>مصفوفة الصلاحيات الشاملة</v>
      </c>
      <c r="W187" s="50" t="str">
        <f aca="false">IF(R187="",W186,IF(W186="",R187,W186&amp;"،  "&amp;R187))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7" s="50" t="str">
        <f aca="false">IF(S187="",X186,IF(X186="",S187,X186&amp;"،  "&amp;S187))</f>
        <v>مراجعة حالة المخرجات المتأخرة،  الموافقة على رفع لوائح اللجان للمجلس</v>
      </c>
      <c r="Y187" s="50" t="str">
        <f aca="false">IF(T187="",Y186,IF(Y186="",T187,Y186&amp;"،  "&amp;T187))</f>
        <v>تسريع اعتماد مصفوفة الصلاحيات الشاملة،  جدولة جلسة اعتماد لائحة مجلس الإدارة</v>
      </c>
    </row>
    <row r="188" customFormat="false" ht="15" hidden="false" customHeight="false" outlineLevel="0" collapsed="false">
      <c r="Q188" s="50" t="str">
        <f aca="false">IFERROR(IF(INDEX(tblDeliverables[مؤشر الالتزام الزمني],186)="متأخر",INDEX(tblDeliverables[المخرج],186),""),"")</f>
        <v/>
      </c>
      <c r="R188" s="50" t="str">
        <f aca="false">IFERROR(IF(AND(INDEX(tblDeliverables[الأولوية],186)="عالية",INDEX(tblDeliverables[الحالة الحالية],186)&lt;&gt;"معتمد ونافذ",INDEX(tblDeliverables[المخرج],186)&lt;&gt;""),INDEX(tblDeliverables[المخرج],186),""),"")</f>
        <v/>
      </c>
      <c r="S188" s="50" t="str">
        <f aca="false">IFERROR(IF(INDEX(tblMeetings[الحالة],186)="مفتوح",INDEX(tblMeetings[أهم القرارات],186),""),"")</f>
        <v/>
      </c>
      <c r="T188" s="50" t="str">
        <f aca="false">IFERROR(IF(AND(INDEX(tblMeetings[تاريخ الاستحقاق],186)&lt;&gt;"",INDEX(tblMeetings[تاريخ الاستحقاق],186)&gt;=TODAY(),INDEX(tblMeetings[تاريخ الاستحقاق],186)&lt;=TODAY()+14,INDEX(tblMeetings[الحالة],186)&lt;&gt;"مغلق"),INDEX(tblMeetings[الإجراءات المطلوبة],186),""),"")</f>
        <v/>
      </c>
      <c r="V188" s="50" t="str">
        <f aca="false">IF(Q188="",V187,IF(V187="",Q188,V187&amp;"،  "&amp;Q188))</f>
        <v>مصفوفة الصلاحيات الشاملة</v>
      </c>
      <c r="W188" s="50" t="str">
        <f aca="false">IF(R188="",W187,IF(W187="",R188,W187&amp;"،  "&amp;R188))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8" s="50" t="str">
        <f aca="false">IF(S188="",X187,IF(X187="",S188,X187&amp;"،  "&amp;S188))</f>
        <v>مراجعة حالة المخرجات المتأخرة،  الموافقة على رفع لوائح اللجان للمجلس</v>
      </c>
      <c r="Y188" s="50" t="str">
        <f aca="false">IF(T188="",Y187,IF(Y187="",T188,Y187&amp;"،  "&amp;T188))</f>
        <v>تسريع اعتماد مصفوفة الصلاحيات الشاملة،  جدولة جلسة اعتماد لائحة مجلس الإدارة</v>
      </c>
    </row>
    <row r="189" customFormat="false" ht="15" hidden="false" customHeight="false" outlineLevel="0" collapsed="false">
      <c r="Q189" s="50" t="str">
        <f aca="false">IFERROR(IF(INDEX(tblDeliverables[مؤشر الالتزام الزمني],187)="متأخر",INDEX(tblDeliverables[المخرج],187),""),"")</f>
        <v/>
      </c>
      <c r="R189" s="50" t="str">
        <f aca="false">IFERROR(IF(AND(INDEX(tblDeliverables[الأولوية],187)="عالية",INDEX(tblDeliverables[الحالة الحالية],187)&lt;&gt;"معتمد ونافذ",INDEX(tblDeliverables[المخرج],187)&lt;&gt;""),INDEX(tblDeliverables[المخرج],187),""),"")</f>
        <v/>
      </c>
      <c r="S189" s="50" t="str">
        <f aca="false">IFERROR(IF(INDEX(tblMeetings[الحالة],187)="مفتوح",INDEX(tblMeetings[أهم القرارات],187),""),"")</f>
        <v/>
      </c>
      <c r="T189" s="50" t="str">
        <f aca="false">IFERROR(IF(AND(INDEX(tblMeetings[تاريخ الاستحقاق],187)&lt;&gt;"",INDEX(tblMeetings[تاريخ الاستحقاق],187)&gt;=TODAY(),INDEX(tblMeetings[تاريخ الاستحقاق],187)&lt;=TODAY()+14,INDEX(tblMeetings[الحالة],187)&lt;&gt;"مغلق"),INDEX(tblMeetings[الإجراءات المطلوبة],187),""),"")</f>
        <v/>
      </c>
      <c r="V189" s="50" t="str">
        <f aca="false">IF(Q189="",V188,IF(V188="",Q189,V188&amp;"،  "&amp;Q189))</f>
        <v>مصفوفة الصلاحيات الشاملة</v>
      </c>
      <c r="W189" s="50" t="str">
        <f aca="false">IF(R189="",W188,IF(W188="",R189,W188&amp;"،  "&amp;R189))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89" s="50" t="str">
        <f aca="false">IF(S189="",X188,IF(X188="",S189,X188&amp;"،  "&amp;S189))</f>
        <v>مراجعة حالة المخرجات المتأخرة،  الموافقة على رفع لوائح اللجان للمجلس</v>
      </c>
      <c r="Y189" s="50" t="str">
        <f aca="false">IF(T189="",Y188,IF(Y188="",T189,Y188&amp;"،  "&amp;T189))</f>
        <v>تسريع اعتماد مصفوفة الصلاحيات الشاملة،  جدولة جلسة اعتماد لائحة مجلس الإدارة</v>
      </c>
    </row>
    <row r="190" customFormat="false" ht="15" hidden="false" customHeight="false" outlineLevel="0" collapsed="false">
      <c r="Q190" s="50" t="str">
        <f aca="false">IFERROR(IF(INDEX(tblDeliverables[مؤشر الالتزام الزمني],188)="متأخر",INDEX(tblDeliverables[المخرج],188),""),"")</f>
        <v/>
      </c>
      <c r="R190" s="50" t="str">
        <f aca="false">IFERROR(IF(AND(INDEX(tblDeliverables[الأولوية],188)="عالية",INDEX(tblDeliverables[الحالة الحالية],188)&lt;&gt;"معتمد ونافذ",INDEX(tblDeliverables[المخرج],188)&lt;&gt;""),INDEX(tblDeliverables[المخرج],188),""),"")</f>
        <v/>
      </c>
      <c r="S190" s="50" t="str">
        <f aca="false">IFERROR(IF(INDEX(tblMeetings[الحالة],188)="مفتوح",INDEX(tblMeetings[أهم القرارات],188),""),"")</f>
        <v/>
      </c>
      <c r="T190" s="50" t="str">
        <f aca="false">IFERROR(IF(AND(INDEX(tblMeetings[تاريخ الاستحقاق],188)&lt;&gt;"",INDEX(tblMeetings[تاريخ الاستحقاق],188)&gt;=TODAY(),INDEX(tblMeetings[تاريخ الاستحقاق],188)&lt;=TODAY()+14,INDEX(tblMeetings[الحالة],188)&lt;&gt;"مغلق"),INDEX(tblMeetings[الإجراءات المطلوبة],188),""),"")</f>
        <v/>
      </c>
      <c r="V190" s="50" t="str">
        <f aca="false">IF(Q190="",V189,IF(V189="",Q190,V189&amp;"،  "&amp;Q190))</f>
        <v>مصفوفة الصلاحيات الشاملة</v>
      </c>
      <c r="W190" s="50" t="str">
        <f aca="false">IF(R190="",W189,IF(W189="",R190,W189&amp;"،  "&amp;R190))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0" s="50" t="str">
        <f aca="false">IF(S190="",X189,IF(X189="",S190,X189&amp;"،  "&amp;S190))</f>
        <v>مراجعة حالة المخرجات المتأخرة،  الموافقة على رفع لوائح اللجان للمجلس</v>
      </c>
      <c r="Y190" s="50" t="str">
        <f aca="false">IF(T190="",Y189,IF(Y189="",T190,Y189&amp;"،  "&amp;T190))</f>
        <v>تسريع اعتماد مصفوفة الصلاحيات الشاملة،  جدولة جلسة اعتماد لائحة مجلس الإدارة</v>
      </c>
    </row>
    <row r="191" customFormat="false" ht="15" hidden="false" customHeight="false" outlineLevel="0" collapsed="false">
      <c r="Q191" s="50" t="str">
        <f aca="false">IFERROR(IF(INDEX(tblDeliverables[مؤشر الالتزام الزمني],189)="متأخر",INDEX(tblDeliverables[المخرج],189),""),"")</f>
        <v/>
      </c>
      <c r="R191" s="50" t="str">
        <f aca="false">IFERROR(IF(AND(INDEX(tblDeliverables[الأولوية],189)="عالية",INDEX(tblDeliverables[الحالة الحالية],189)&lt;&gt;"معتمد ونافذ",INDEX(tblDeliverables[المخرج],189)&lt;&gt;""),INDEX(tblDeliverables[المخرج],189),""),"")</f>
        <v/>
      </c>
      <c r="S191" s="50" t="str">
        <f aca="false">IFERROR(IF(INDEX(tblMeetings[الحالة],189)="مفتوح",INDEX(tblMeetings[أهم القرارات],189),""),"")</f>
        <v/>
      </c>
      <c r="T191" s="50" t="str">
        <f aca="false">IFERROR(IF(AND(INDEX(tblMeetings[تاريخ الاستحقاق],189)&lt;&gt;"",INDEX(tblMeetings[تاريخ الاستحقاق],189)&gt;=TODAY(),INDEX(tblMeetings[تاريخ الاستحقاق],189)&lt;=TODAY()+14,INDEX(tblMeetings[الحالة],189)&lt;&gt;"مغلق"),INDEX(tblMeetings[الإجراءات المطلوبة],189),""),"")</f>
        <v/>
      </c>
      <c r="V191" s="50" t="str">
        <f aca="false">IF(Q191="",V190,IF(V190="",Q191,V190&amp;"،  "&amp;Q191))</f>
        <v>مصفوفة الصلاحيات الشاملة</v>
      </c>
      <c r="W191" s="50" t="str">
        <f aca="false">IF(R191="",W190,IF(W190="",R191,W190&amp;"،  "&amp;R191))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1" s="50" t="str">
        <f aca="false">IF(S191="",X190,IF(X190="",S191,X190&amp;"،  "&amp;S191))</f>
        <v>مراجعة حالة المخرجات المتأخرة،  الموافقة على رفع لوائح اللجان للمجلس</v>
      </c>
      <c r="Y191" s="50" t="str">
        <f aca="false">IF(T191="",Y190,IF(Y190="",T191,Y190&amp;"،  "&amp;T191))</f>
        <v>تسريع اعتماد مصفوفة الصلاحيات الشاملة،  جدولة جلسة اعتماد لائحة مجلس الإدارة</v>
      </c>
    </row>
    <row r="192" customFormat="false" ht="15" hidden="false" customHeight="false" outlineLevel="0" collapsed="false">
      <c r="Q192" s="50" t="str">
        <f aca="false">IFERROR(IF(INDEX(tblDeliverables[مؤشر الالتزام الزمني],190)="متأخر",INDEX(tblDeliverables[المخرج],190),""),"")</f>
        <v/>
      </c>
      <c r="R192" s="50" t="str">
        <f aca="false">IFERROR(IF(AND(INDEX(tblDeliverables[الأولوية],190)="عالية",INDEX(tblDeliverables[الحالة الحالية],190)&lt;&gt;"معتمد ونافذ",INDEX(tblDeliverables[المخرج],190)&lt;&gt;""),INDEX(tblDeliverables[المخرج],190),""),"")</f>
        <v/>
      </c>
      <c r="S192" s="50" t="str">
        <f aca="false">IFERROR(IF(INDEX(tblMeetings[الحالة],190)="مفتوح",INDEX(tblMeetings[أهم القرارات],190),""),"")</f>
        <v/>
      </c>
      <c r="T192" s="50" t="str">
        <f aca="false">IFERROR(IF(AND(INDEX(tblMeetings[تاريخ الاستحقاق],190)&lt;&gt;"",INDEX(tblMeetings[تاريخ الاستحقاق],190)&gt;=TODAY(),INDEX(tblMeetings[تاريخ الاستحقاق],190)&lt;=TODAY()+14,INDEX(tblMeetings[الحالة],190)&lt;&gt;"مغلق"),INDEX(tblMeetings[الإجراءات المطلوبة],190),""),"")</f>
        <v/>
      </c>
      <c r="V192" s="50" t="str">
        <f aca="false">IF(Q192="",V191,IF(V191="",Q192,V191&amp;"،  "&amp;Q192))</f>
        <v>مصفوفة الصلاحيات الشاملة</v>
      </c>
      <c r="W192" s="50" t="str">
        <f aca="false">IF(R192="",W191,IF(W191="",R192,W191&amp;"،  "&amp;R192))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2" s="50" t="str">
        <f aca="false">IF(S192="",X191,IF(X191="",S192,X191&amp;"،  "&amp;S192))</f>
        <v>مراجعة حالة المخرجات المتأخرة،  الموافقة على رفع لوائح اللجان للمجلس</v>
      </c>
      <c r="Y192" s="50" t="str">
        <f aca="false">IF(T192="",Y191,IF(Y191="",T192,Y191&amp;"،  "&amp;T192))</f>
        <v>تسريع اعتماد مصفوفة الصلاحيات الشاملة،  جدولة جلسة اعتماد لائحة مجلس الإدارة</v>
      </c>
    </row>
    <row r="193" customFormat="false" ht="15" hidden="false" customHeight="false" outlineLevel="0" collapsed="false">
      <c r="Q193" s="50" t="str">
        <f aca="false">IFERROR(IF(INDEX(tblDeliverables[مؤشر الالتزام الزمني],191)="متأخر",INDEX(tblDeliverables[المخرج],191),""),"")</f>
        <v/>
      </c>
      <c r="R193" s="50" t="str">
        <f aca="false">IFERROR(IF(AND(INDEX(tblDeliverables[الأولوية],191)="عالية",INDEX(tblDeliverables[الحالة الحالية],191)&lt;&gt;"معتمد ونافذ",INDEX(tblDeliverables[المخرج],191)&lt;&gt;""),INDEX(tblDeliverables[المخرج],191),""),"")</f>
        <v/>
      </c>
      <c r="S193" s="50" t="str">
        <f aca="false">IFERROR(IF(INDEX(tblMeetings[الحالة],191)="مفتوح",INDEX(tblMeetings[أهم القرارات],191),""),"")</f>
        <v/>
      </c>
      <c r="T193" s="50" t="str">
        <f aca="false">IFERROR(IF(AND(INDEX(tblMeetings[تاريخ الاستحقاق],191)&lt;&gt;"",INDEX(tblMeetings[تاريخ الاستحقاق],191)&gt;=TODAY(),INDEX(tblMeetings[تاريخ الاستحقاق],191)&lt;=TODAY()+14,INDEX(tblMeetings[الحالة],191)&lt;&gt;"مغلق"),INDEX(tblMeetings[الإجراءات المطلوبة],191),""),"")</f>
        <v/>
      </c>
      <c r="V193" s="50" t="str">
        <f aca="false">IF(Q193="",V192,IF(V192="",Q193,V192&amp;"،  "&amp;Q193))</f>
        <v>مصفوفة الصلاحيات الشاملة</v>
      </c>
      <c r="W193" s="50" t="str">
        <f aca="false">IF(R193="",W192,IF(W192="",R193,W192&amp;"،  "&amp;R193))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3" s="50" t="str">
        <f aca="false">IF(S193="",X192,IF(X192="",S193,X192&amp;"،  "&amp;S193))</f>
        <v>مراجعة حالة المخرجات المتأخرة،  الموافقة على رفع لوائح اللجان للمجلس</v>
      </c>
      <c r="Y193" s="50" t="str">
        <f aca="false">IF(T193="",Y192,IF(Y192="",T193,Y192&amp;"،  "&amp;T193))</f>
        <v>تسريع اعتماد مصفوفة الصلاحيات الشاملة،  جدولة جلسة اعتماد لائحة مجلس الإدارة</v>
      </c>
    </row>
    <row r="194" customFormat="false" ht="15" hidden="false" customHeight="false" outlineLevel="0" collapsed="false">
      <c r="Q194" s="50" t="str">
        <f aca="false">IFERROR(IF(INDEX(tblDeliverables[مؤشر الالتزام الزمني],192)="متأخر",INDEX(tblDeliverables[المخرج],192),""),"")</f>
        <v/>
      </c>
      <c r="R194" s="50" t="str">
        <f aca="false">IFERROR(IF(AND(INDEX(tblDeliverables[الأولوية],192)="عالية",INDEX(tblDeliverables[الحالة الحالية],192)&lt;&gt;"معتمد ونافذ",INDEX(tblDeliverables[المخرج],192)&lt;&gt;""),INDEX(tblDeliverables[المخرج],192),""),"")</f>
        <v/>
      </c>
      <c r="S194" s="50" t="str">
        <f aca="false">IFERROR(IF(INDEX(tblMeetings[الحالة],192)="مفتوح",INDEX(tblMeetings[أهم القرارات],192),""),"")</f>
        <v/>
      </c>
      <c r="T194" s="50" t="str">
        <f aca="false">IFERROR(IF(AND(INDEX(tblMeetings[تاريخ الاستحقاق],192)&lt;&gt;"",INDEX(tblMeetings[تاريخ الاستحقاق],192)&gt;=TODAY(),INDEX(tblMeetings[تاريخ الاستحقاق],192)&lt;=TODAY()+14,INDEX(tblMeetings[الحالة],192)&lt;&gt;"مغلق"),INDEX(tblMeetings[الإجراءات المطلوبة],192),""),"")</f>
        <v/>
      </c>
      <c r="V194" s="50" t="str">
        <f aca="false">IF(Q194="",V193,IF(V193="",Q194,V193&amp;"،  "&amp;Q194))</f>
        <v>مصفوفة الصلاحيات الشاملة</v>
      </c>
      <c r="W194" s="50" t="str">
        <f aca="false">IF(R194="",W193,IF(W193="",R194,W193&amp;"،  "&amp;R194))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4" s="50" t="str">
        <f aca="false">IF(S194="",X193,IF(X193="",S194,X193&amp;"،  "&amp;S194))</f>
        <v>مراجعة حالة المخرجات المتأخرة،  الموافقة على رفع لوائح اللجان للمجلس</v>
      </c>
      <c r="Y194" s="50" t="str">
        <f aca="false">IF(T194="",Y193,IF(Y193="",T194,Y193&amp;"،  "&amp;T194))</f>
        <v>تسريع اعتماد مصفوفة الصلاحيات الشاملة،  جدولة جلسة اعتماد لائحة مجلس الإدارة</v>
      </c>
    </row>
    <row r="195" customFormat="false" ht="15" hidden="false" customHeight="false" outlineLevel="0" collapsed="false">
      <c r="Q195" s="50" t="str">
        <f aca="false">IFERROR(IF(INDEX(tblDeliverables[مؤشر الالتزام الزمني],193)="متأخر",INDEX(tblDeliverables[المخرج],193),""),"")</f>
        <v/>
      </c>
      <c r="R195" s="50" t="str">
        <f aca="false">IFERROR(IF(AND(INDEX(tblDeliverables[الأولوية],193)="عالية",INDEX(tblDeliverables[الحالة الحالية],193)&lt;&gt;"معتمد ونافذ",INDEX(tblDeliverables[المخرج],193)&lt;&gt;""),INDEX(tblDeliverables[المخرج],193),""),"")</f>
        <v/>
      </c>
      <c r="S195" s="50" t="str">
        <f aca="false">IFERROR(IF(INDEX(tblMeetings[الحالة],193)="مفتوح",INDEX(tblMeetings[أهم القرارات],193),""),"")</f>
        <v/>
      </c>
      <c r="T195" s="50" t="str">
        <f aca="false">IFERROR(IF(AND(INDEX(tblMeetings[تاريخ الاستحقاق],193)&lt;&gt;"",INDEX(tblMeetings[تاريخ الاستحقاق],193)&gt;=TODAY(),INDEX(tblMeetings[تاريخ الاستحقاق],193)&lt;=TODAY()+14,INDEX(tblMeetings[الحالة],193)&lt;&gt;"مغلق"),INDEX(tblMeetings[الإجراءات المطلوبة],193),""),"")</f>
        <v/>
      </c>
      <c r="V195" s="50" t="str">
        <f aca="false">IF(Q195="",V194,IF(V194="",Q195,V194&amp;"،  "&amp;Q195))</f>
        <v>مصفوفة الصلاحيات الشاملة</v>
      </c>
      <c r="W195" s="50" t="str">
        <f aca="false">IF(R195="",W194,IF(W194="",R195,W194&amp;"،  "&amp;R195))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5" s="50" t="str">
        <f aca="false">IF(S195="",X194,IF(X194="",S195,X194&amp;"،  "&amp;S195))</f>
        <v>مراجعة حالة المخرجات المتأخرة،  الموافقة على رفع لوائح اللجان للمجلس</v>
      </c>
      <c r="Y195" s="50" t="str">
        <f aca="false">IF(T195="",Y194,IF(Y194="",T195,Y194&amp;"،  "&amp;T195))</f>
        <v>تسريع اعتماد مصفوفة الصلاحيات الشاملة،  جدولة جلسة اعتماد لائحة مجلس الإدارة</v>
      </c>
    </row>
    <row r="196" customFormat="false" ht="15" hidden="false" customHeight="false" outlineLevel="0" collapsed="false">
      <c r="Q196" s="50" t="str">
        <f aca="false">IFERROR(IF(INDEX(tblDeliverables[مؤشر الالتزام الزمني],194)="متأخر",INDEX(tblDeliverables[المخرج],194),""),"")</f>
        <v/>
      </c>
      <c r="R196" s="50" t="str">
        <f aca="false">IFERROR(IF(AND(INDEX(tblDeliverables[الأولوية],194)="عالية",INDEX(tblDeliverables[الحالة الحالية],194)&lt;&gt;"معتمد ونافذ",INDEX(tblDeliverables[المخرج],194)&lt;&gt;""),INDEX(tblDeliverables[المخرج],194),""),"")</f>
        <v/>
      </c>
      <c r="S196" s="50" t="str">
        <f aca="false">IFERROR(IF(INDEX(tblMeetings[الحالة],194)="مفتوح",INDEX(tblMeetings[أهم القرارات],194),""),"")</f>
        <v/>
      </c>
      <c r="T196" s="50" t="str">
        <f aca="false">IFERROR(IF(AND(INDEX(tblMeetings[تاريخ الاستحقاق],194)&lt;&gt;"",INDEX(tblMeetings[تاريخ الاستحقاق],194)&gt;=TODAY(),INDEX(tblMeetings[تاريخ الاستحقاق],194)&lt;=TODAY()+14,INDEX(tblMeetings[الحالة],194)&lt;&gt;"مغلق"),INDEX(tblMeetings[الإجراءات المطلوبة],194),""),"")</f>
        <v/>
      </c>
      <c r="V196" s="50" t="str">
        <f aca="false">IF(Q196="",V195,IF(V195="",Q196,V195&amp;"،  "&amp;Q196))</f>
        <v>مصفوفة الصلاحيات الشاملة</v>
      </c>
      <c r="W196" s="50" t="str">
        <f aca="false">IF(R196="",W195,IF(W195="",R196,W195&amp;"،  "&amp;R196))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6" s="50" t="str">
        <f aca="false">IF(S196="",X195,IF(X195="",S196,X195&amp;"،  "&amp;S196))</f>
        <v>مراجعة حالة المخرجات المتأخرة،  الموافقة على رفع لوائح اللجان للمجلس</v>
      </c>
      <c r="Y196" s="50" t="str">
        <f aca="false">IF(T196="",Y195,IF(Y195="",T196,Y195&amp;"،  "&amp;T196))</f>
        <v>تسريع اعتماد مصفوفة الصلاحيات الشاملة،  جدولة جلسة اعتماد لائحة مجلس الإدارة</v>
      </c>
    </row>
    <row r="197" customFormat="false" ht="15" hidden="false" customHeight="false" outlineLevel="0" collapsed="false">
      <c r="Q197" s="50" t="str">
        <f aca="false">IFERROR(IF(INDEX(tblDeliverables[مؤشر الالتزام الزمني],195)="متأخر",INDEX(tblDeliverables[المخرج],195),""),"")</f>
        <v/>
      </c>
      <c r="R197" s="50" t="str">
        <f aca="false">IFERROR(IF(AND(INDEX(tblDeliverables[الأولوية],195)="عالية",INDEX(tblDeliverables[الحالة الحالية],195)&lt;&gt;"معتمد ونافذ",INDEX(tblDeliverables[المخرج],195)&lt;&gt;""),INDEX(tblDeliverables[المخرج],195),""),"")</f>
        <v/>
      </c>
      <c r="S197" s="50" t="str">
        <f aca="false">IFERROR(IF(INDEX(tblMeetings[الحالة],195)="مفتوح",INDEX(tblMeetings[أهم القرارات],195),""),"")</f>
        <v/>
      </c>
      <c r="T197" s="50" t="str">
        <f aca="false">IFERROR(IF(AND(INDEX(tblMeetings[تاريخ الاستحقاق],195)&lt;&gt;"",INDEX(tblMeetings[تاريخ الاستحقاق],195)&gt;=TODAY(),INDEX(tblMeetings[تاريخ الاستحقاق],195)&lt;=TODAY()+14,INDEX(tblMeetings[الحالة],195)&lt;&gt;"مغلق"),INDEX(tblMeetings[الإجراءات المطلوبة],195),""),"")</f>
        <v/>
      </c>
      <c r="V197" s="50" t="str">
        <f aca="false">IF(Q197="",V196,IF(V196="",Q197,V196&amp;"،  "&amp;Q197))</f>
        <v>مصفوفة الصلاحيات الشاملة</v>
      </c>
      <c r="W197" s="50" t="str">
        <f aca="false">IF(R197="",W196,IF(W196="",R197,W196&amp;"،  "&amp;R197))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7" s="50" t="str">
        <f aca="false">IF(S197="",X196,IF(X196="",S197,X196&amp;"،  "&amp;S197))</f>
        <v>مراجعة حالة المخرجات المتأخرة،  الموافقة على رفع لوائح اللجان للمجلس</v>
      </c>
      <c r="Y197" s="50" t="str">
        <f aca="false">IF(T197="",Y196,IF(Y196="",T197,Y196&amp;"،  "&amp;T197))</f>
        <v>تسريع اعتماد مصفوفة الصلاحيات الشاملة،  جدولة جلسة اعتماد لائحة مجلس الإدارة</v>
      </c>
    </row>
    <row r="198" customFormat="false" ht="15" hidden="false" customHeight="false" outlineLevel="0" collapsed="false">
      <c r="Q198" s="50" t="str">
        <f aca="false">IFERROR(IF(INDEX(tblDeliverables[مؤشر الالتزام الزمني],196)="متأخر",INDEX(tblDeliverables[المخرج],196),""),"")</f>
        <v/>
      </c>
      <c r="R198" s="50" t="str">
        <f aca="false">IFERROR(IF(AND(INDEX(tblDeliverables[الأولوية],196)="عالية",INDEX(tblDeliverables[الحالة الحالية],196)&lt;&gt;"معتمد ونافذ",INDEX(tblDeliverables[المخرج],196)&lt;&gt;""),INDEX(tblDeliverables[المخرج],196),""),"")</f>
        <v/>
      </c>
      <c r="S198" s="50" t="str">
        <f aca="false">IFERROR(IF(INDEX(tblMeetings[الحالة],196)="مفتوح",INDEX(tblMeetings[أهم القرارات],196),""),"")</f>
        <v/>
      </c>
      <c r="T198" s="50" t="str">
        <f aca="false">IFERROR(IF(AND(INDEX(tblMeetings[تاريخ الاستحقاق],196)&lt;&gt;"",INDEX(tblMeetings[تاريخ الاستحقاق],196)&gt;=TODAY(),INDEX(tblMeetings[تاريخ الاستحقاق],196)&lt;=TODAY()+14,INDEX(tblMeetings[الحالة],196)&lt;&gt;"مغلق"),INDEX(tblMeetings[الإجراءات المطلوبة],196),""),"")</f>
        <v/>
      </c>
      <c r="V198" s="50" t="str">
        <f aca="false">IF(Q198="",V197,IF(V197="",Q198,V197&amp;"،  "&amp;Q198))</f>
        <v>مصفوفة الصلاحيات الشاملة</v>
      </c>
      <c r="W198" s="50" t="str">
        <f aca="false">IF(R198="",W197,IF(W197="",R198,W197&amp;"،  "&amp;R198))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8" s="50" t="str">
        <f aca="false">IF(S198="",X197,IF(X197="",S198,X197&amp;"،  "&amp;S198))</f>
        <v>مراجعة حالة المخرجات المتأخرة،  الموافقة على رفع لوائح اللجان للمجلس</v>
      </c>
      <c r="Y198" s="50" t="str">
        <f aca="false">IF(T198="",Y197,IF(Y197="",T198,Y197&amp;"،  "&amp;T198))</f>
        <v>تسريع اعتماد مصفوفة الصلاحيات الشاملة،  جدولة جلسة اعتماد لائحة مجلس الإدارة</v>
      </c>
    </row>
    <row r="199" customFormat="false" ht="15" hidden="false" customHeight="false" outlineLevel="0" collapsed="false">
      <c r="Q199" s="50" t="str">
        <f aca="false">IFERROR(IF(INDEX(tblDeliverables[مؤشر الالتزام الزمني],197)="متأخر",INDEX(tblDeliverables[المخرج],197),""),"")</f>
        <v/>
      </c>
      <c r="R199" s="50" t="str">
        <f aca="false">IFERROR(IF(AND(INDEX(tblDeliverables[الأولوية],197)="عالية",INDEX(tblDeliverables[الحالة الحالية],197)&lt;&gt;"معتمد ونافذ",INDEX(tblDeliverables[المخرج],197)&lt;&gt;""),INDEX(tblDeliverables[المخرج],197),""),"")</f>
        <v/>
      </c>
      <c r="S199" s="50" t="str">
        <f aca="false">IFERROR(IF(INDEX(tblMeetings[الحالة],197)="مفتوح",INDEX(tblMeetings[أهم القرارات],197),""),"")</f>
        <v/>
      </c>
      <c r="T199" s="50" t="str">
        <f aca="false">IFERROR(IF(AND(INDEX(tblMeetings[تاريخ الاستحقاق],197)&lt;&gt;"",INDEX(tblMeetings[تاريخ الاستحقاق],197)&gt;=TODAY(),INDEX(tblMeetings[تاريخ الاستحقاق],197)&lt;=TODAY()+14,INDEX(tblMeetings[الحالة],197)&lt;&gt;"مغلق"),INDEX(tblMeetings[الإجراءات المطلوبة],197),""),"")</f>
        <v/>
      </c>
      <c r="V199" s="50" t="str">
        <f aca="false">IF(Q199="",V198,IF(V198="",Q199,V198&amp;"،  "&amp;Q199))</f>
        <v>مصفوفة الصلاحيات الشاملة</v>
      </c>
      <c r="W199" s="50" t="str">
        <f aca="false">IF(R199="",W198,IF(W198="",R199,W198&amp;"،  "&amp;R199))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199" s="50" t="str">
        <f aca="false">IF(S199="",X198,IF(X198="",S199,X198&amp;"،  "&amp;S199))</f>
        <v>مراجعة حالة المخرجات المتأخرة،  الموافقة على رفع لوائح اللجان للمجلس</v>
      </c>
      <c r="Y199" s="50" t="str">
        <f aca="false">IF(T199="",Y198,IF(Y198="",T199,Y198&amp;"،  "&amp;T199))</f>
        <v>تسريع اعتماد مصفوفة الصلاحيات الشاملة،  جدولة جلسة اعتماد لائحة مجلس الإدارة</v>
      </c>
    </row>
    <row r="200" customFormat="false" ht="15" hidden="false" customHeight="false" outlineLevel="0" collapsed="false">
      <c r="Q200" s="50" t="str">
        <f aca="false">IFERROR(IF(INDEX(tblDeliverables[مؤشر الالتزام الزمني],198)="متأخر",INDEX(tblDeliverables[المخرج],198),""),"")</f>
        <v/>
      </c>
      <c r="R200" s="50" t="str">
        <f aca="false">IFERROR(IF(AND(INDEX(tblDeliverables[الأولوية],198)="عالية",INDEX(tblDeliverables[الحالة الحالية],198)&lt;&gt;"معتمد ونافذ",INDEX(tblDeliverables[المخرج],198)&lt;&gt;""),INDEX(tblDeliverables[المخرج],198),""),"")</f>
        <v/>
      </c>
      <c r="S200" s="50" t="str">
        <f aca="false">IFERROR(IF(INDEX(tblMeetings[الحالة],198)="مفتوح",INDEX(tblMeetings[أهم القرارات],198),""),"")</f>
        <v/>
      </c>
      <c r="T200" s="50" t="str">
        <f aca="false">IFERROR(IF(AND(INDEX(tblMeetings[تاريخ الاستحقاق],198)&lt;&gt;"",INDEX(tblMeetings[تاريخ الاستحقاق],198)&gt;=TODAY(),INDEX(tblMeetings[تاريخ الاستحقاق],198)&lt;=TODAY()+14,INDEX(tblMeetings[الحالة],198)&lt;&gt;"مغلق"),INDEX(tblMeetings[الإجراءات المطلوبة],198),""),"")</f>
        <v/>
      </c>
      <c r="V200" s="50" t="str">
        <f aca="false">IF(Q200="",V199,IF(V199="",Q200,V199&amp;"،  "&amp;Q200))</f>
        <v>مصفوفة الصلاحيات الشاملة</v>
      </c>
      <c r="W200" s="50" t="str">
        <f aca="false">IF(R200="",W199,IF(W199="",R200,W199&amp;"،  "&amp;R200))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0" s="50" t="str">
        <f aca="false">IF(S200="",X199,IF(X199="",S200,X199&amp;"،  "&amp;S200))</f>
        <v>مراجعة حالة المخرجات المتأخرة،  الموافقة على رفع لوائح اللجان للمجلس</v>
      </c>
      <c r="Y200" s="50" t="str">
        <f aca="false">IF(T200="",Y199,IF(Y199="",T200,Y199&amp;"،  "&amp;T200))</f>
        <v>تسريع اعتماد مصفوفة الصلاحيات الشاملة،  جدولة جلسة اعتماد لائحة مجلس الإدارة</v>
      </c>
    </row>
    <row r="201" customFormat="false" ht="15" hidden="false" customHeight="false" outlineLevel="0" collapsed="false">
      <c r="Q201" s="50" t="str">
        <f aca="false">IFERROR(IF(INDEX(tblDeliverables[مؤشر الالتزام الزمني],199)="متأخر",INDEX(tblDeliverables[المخرج],199),""),"")</f>
        <v/>
      </c>
      <c r="R201" s="50" t="str">
        <f aca="false">IFERROR(IF(AND(INDEX(tblDeliverables[الأولوية],199)="عالية",INDEX(tblDeliverables[الحالة الحالية],199)&lt;&gt;"معتمد ونافذ",INDEX(tblDeliverables[المخرج],199)&lt;&gt;""),INDEX(tblDeliverables[المخرج],199),""),"")</f>
        <v/>
      </c>
      <c r="S201" s="50" t="str">
        <f aca="false">IFERROR(IF(INDEX(tblMeetings[الحالة],199)="مفتوح",INDEX(tblMeetings[أهم القرارات],199),""),"")</f>
        <v/>
      </c>
      <c r="T201" s="50" t="str">
        <f aca="false">IFERROR(IF(AND(INDEX(tblMeetings[تاريخ الاستحقاق],199)&lt;&gt;"",INDEX(tblMeetings[تاريخ الاستحقاق],199)&gt;=TODAY(),INDEX(tblMeetings[تاريخ الاستحقاق],199)&lt;=TODAY()+14,INDEX(tblMeetings[الحالة],199)&lt;&gt;"مغلق"),INDEX(tblMeetings[الإجراءات المطلوبة],199),""),"")</f>
        <v/>
      </c>
      <c r="V201" s="50" t="str">
        <f aca="false">IF(Q201="",V200,IF(V200="",Q201,V200&amp;"،  "&amp;Q201))</f>
        <v>مصفوفة الصلاحيات الشاملة</v>
      </c>
      <c r="W201" s="50" t="str">
        <f aca="false">IF(R201="",W200,IF(W200="",R201,W200&amp;"،  "&amp;R201))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1" s="50" t="str">
        <f aca="false">IF(S201="",X200,IF(X200="",S201,X200&amp;"،  "&amp;S201))</f>
        <v>مراجعة حالة المخرجات المتأخرة،  الموافقة على رفع لوائح اللجان للمجلس</v>
      </c>
      <c r="Y201" s="50" t="str">
        <f aca="false">IF(T201="",Y200,IF(Y200="",T201,Y200&amp;"،  "&amp;T201))</f>
        <v>تسريع اعتماد مصفوفة الصلاحيات الشاملة،  جدولة جلسة اعتماد لائحة مجلس الإدارة</v>
      </c>
    </row>
    <row r="202" customFormat="false" ht="15" hidden="false" customHeight="false" outlineLevel="0" collapsed="false">
      <c r="Q202" s="50" t="str">
        <f aca="false">IFERROR(IF(INDEX(tblDeliverables[مؤشر الالتزام الزمني],200)="متأخر",INDEX(tblDeliverables[المخرج],200),""),"")</f>
        <v/>
      </c>
      <c r="R202" s="50" t="str">
        <f aca="false">IFERROR(IF(AND(INDEX(tblDeliverables[الأولوية],200)="عالية",INDEX(tblDeliverables[الحالة الحالية],200)&lt;&gt;"معتمد ونافذ",INDEX(tblDeliverables[المخرج],200)&lt;&gt;""),INDEX(tblDeliverables[المخرج],200),""),"")</f>
        <v/>
      </c>
      <c r="S202" s="50" t="str">
        <f aca="false">IFERROR(IF(INDEX(tblMeetings[الحالة],200)="مفتوح",INDEX(tblMeetings[أهم القرارات],200),""),"")</f>
        <v/>
      </c>
      <c r="T202" s="50" t="str">
        <f aca="false">IFERROR(IF(AND(INDEX(tblMeetings[تاريخ الاستحقاق],200)&lt;&gt;"",INDEX(tblMeetings[تاريخ الاستحقاق],200)&gt;=TODAY(),INDEX(tblMeetings[تاريخ الاستحقاق],200)&lt;=TODAY()+14,INDEX(tblMeetings[الحالة],200)&lt;&gt;"مغلق"),INDEX(tblMeetings[الإجراءات المطلوبة],200),""),"")</f>
        <v/>
      </c>
      <c r="V202" s="50" t="str">
        <f aca="false">IF(Q202="",V201,IF(V201="",Q202,V201&amp;"،  "&amp;Q202))</f>
        <v>مصفوفة الصلاحيات الشاملة</v>
      </c>
      <c r="W202" s="50" t="str">
        <f aca="false">IF(R202="",W201,IF(W201="",R202,W201&amp;"،  "&amp;R202))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2" s="50" t="str">
        <f aca="false">IF(S202="",X201,IF(X201="",S202,X201&amp;"،  "&amp;S202))</f>
        <v>مراجعة حالة المخرجات المتأخرة،  الموافقة على رفع لوائح اللجان للمجلس</v>
      </c>
      <c r="Y202" s="50" t="str">
        <f aca="false">IF(T202="",Y201,IF(Y201="",T202,Y201&amp;"،  "&amp;T202))</f>
        <v>تسريع اعتماد مصفوفة الصلاحيات الشاملة،  جدولة جلسة اعتماد لائحة مجلس الإدارة</v>
      </c>
    </row>
    <row r="203" customFormat="false" ht="15" hidden="false" customHeight="false" outlineLevel="0" collapsed="false">
      <c r="Q203" s="50" t="str">
        <f aca="false">IFERROR(IF(INDEX(tblDeliverables[مؤشر الالتزام الزمني],201)="متأخر",INDEX(tblDeliverables[المخرج],201),""),"")</f>
        <v/>
      </c>
      <c r="R203" s="50" t="str">
        <f aca="false">IFERROR(IF(AND(INDEX(tblDeliverables[الأولوية],201)="عالية",INDEX(tblDeliverables[الحالة الحالية],201)&lt;&gt;"معتمد ونافذ",INDEX(tblDeliverables[المخرج],201)&lt;&gt;""),INDEX(tblDeliverables[المخرج],201),""),"")</f>
        <v/>
      </c>
      <c r="S203" s="50" t="str">
        <f aca="false">IFERROR(IF(INDEX(tblMeetings[الحالة],201)="مفتوح",INDEX(tblMeetings[أهم القرارات],201),""),"")</f>
        <v/>
      </c>
      <c r="T203" s="50" t="str">
        <f aca="false">IFERROR(IF(AND(INDEX(tblMeetings[تاريخ الاستحقاق],201)&lt;&gt;"",INDEX(tblMeetings[تاريخ الاستحقاق],201)&gt;=TODAY(),INDEX(tblMeetings[تاريخ الاستحقاق],201)&lt;=TODAY()+14,INDEX(tblMeetings[الحالة],201)&lt;&gt;"مغلق"),INDEX(tblMeetings[الإجراءات المطلوبة],201),""),"")</f>
        <v/>
      </c>
      <c r="V203" s="50" t="str">
        <f aca="false">IF(Q203="",V202,IF(V202="",Q203,V202&amp;"،  "&amp;Q203))</f>
        <v>مصفوفة الصلاحيات الشاملة</v>
      </c>
      <c r="W203" s="50" t="str">
        <f aca="false">IF(R203="",W202,IF(W202="",R203,W202&amp;"،  "&amp;R203))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3" s="50" t="str">
        <f aca="false">IF(S203="",X202,IF(X202="",S203,X202&amp;"،  "&amp;S203))</f>
        <v>مراجعة حالة المخرجات المتأخرة،  الموافقة على رفع لوائح اللجان للمجلس</v>
      </c>
      <c r="Y203" s="50" t="str">
        <f aca="false">IF(T203="",Y202,IF(Y202="",T203,Y202&amp;"،  "&amp;T203))</f>
        <v>تسريع اعتماد مصفوفة الصلاحيات الشاملة،  جدولة جلسة اعتماد لائحة مجلس الإدارة</v>
      </c>
    </row>
    <row r="204" customFormat="false" ht="15" hidden="false" customHeight="false" outlineLevel="0" collapsed="false">
      <c r="Q204" s="50" t="str">
        <f aca="false">IFERROR(IF(INDEX(tblDeliverables[مؤشر الالتزام الزمني],202)="متأخر",INDEX(tblDeliverables[المخرج],202),""),"")</f>
        <v/>
      </c>
      <c r="R204" s="50" t="str">
        <f aca="false">IFERROR(IF(AND(INDEX(tblDeliverables[الأولوية],202)="عالية",INDEX(tblDeliverables[الحالة الحالية],202)&lt;&gt;"معتمد ونافذ",INDEX(tblDeliverables[المخرج],202)&lt;&gt;""),INDEX(tblDeliverables[المخرج],202),""),"")</f>
        <v/>
      </c>
      <c r="S204" s="50" t="str">
        <f aca="false">IFERROR(IF(INDEX(tblMeetings[الحالة],202)="مفتوح",INDEX(tblMeetings[أهم القرارات],202),""),"")</f>
        <v/>
      </c>
      <c r="T204" s="50" t="str">
        <f aca="false">IFERROR(IF(AND(INDEX(tblMeetings[تاريخ الاستحقاق],202)&lt;&gt;"",INDEX(tblMeetings[تاريخ الاستحقاق],202)&gt;=TODAY(),INDEX(tblMeetings[تاريخ الاستحقاق],202)&lt;=TODAY()+14,INDEX(tblMeetings[الحالة],202)&lt;&gt;"مغلق"),INDEX(tblMeetings[الإجراءات المطلوبة],202),""),"")</f>
        <v/>
      </c>
      <c r="V204" s="50" t="str">
        <f aca="false">IF(Q204="",V203,IF(V203="",Q204,V203&amp;"،  "&amp;Q204))</f>
        <v>مصفوفة الصلاحيات الشاملة</v>
      </c>
      <c r="W204" s="50" t="str">
        <f aca="false">IF(R204="",W203,IF(W203="",R204,W203&amp;"،  "&amp;R204))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4" s="50" t="str">
        <f aca="false">IF(S204="",X203,IF(X203="",S204,X203&amp;"،  "&amp;S204))</f>
        <v>مراجعة حالة المخرجات المتأخرة،  الموافقة على رفع لوائح اللجان للمجلس</v>
      </c>
      <c r="Y204" s="50" t="str">
        <f aca="false">IF(T204="",Y203,IF(Y203="",T204,Y203&amp;"،  "&amp;T204))</f>
        <v>تسريع اعتماد مصفوفة الصلاحيات الشاملة،  جدولة جلسة اعتماد لائحة مجلس الإدارة</v>
      </c>
    </row>
    <row r="205" customFormat="false" ht="15" hidden="false" customHeight="false" outlineLevel="0" collapsed="false">
      <c r="Q205" s="50" t="str">
        <f aca="false">IFERROR(IF(INDEX(tblDeliverables[مؤشر الالتزام الزمني],203)="متأخر",INDEX(tblDeliverables[المخرج],203),""),"")</f>
        <v/>
      </c>
      <c r="R205" s="50" t="str">
        <f aca="false">IFERROR(IF(AND(INDEX(tblDeliverables[الأولوية],203)="عالية",INDEX(tblDeliverables[الحالة الحالية],203)&lt;&gt;"معتمد ونافذ",INDEX(tblDeliverables[المخرج],203)&lt;&gt;""),INDEX(tblDeliverables[المخرج],203),""),"")</f>
        <v/>
      </c>
      <c r="S205" s="50" t="str">
        <f aca="false">IFERROR(IF(INDEX(tblMeetings[الحالة],203)="مفتوح",INDEX(tblMeetings[أهم القرارات],203),""),"")</f>
        <v/>
      </c>
      <c r="T205" s="50" t="str">
        <f aca="false">IFERROR(IF(AND(INDEX(tblMeetings[تاريخ الاستحقاق],203)&lt;&gt;"",INDEX(tblMeetings[تاريخ الاستحقاق],203)&gt;=TODAY(),INDEX(tblMeetings[تاريخ الاستحقاق],203)&lt;=TODAY()+14,INDEX(tblMeetings[الحالة],203)&lt;&gt;"مغلق"),INDEX(tblMeetings[الإجراءات المطلوبة],203),""),"")</f>
        <v/>
      </c>
      <c r="V205" s="50" t="str">
        <f aca="false">IF(Q205="",V204,IF(V204="",Q205,V204&amp;"،  "&amp;Q205))</f>
        <v>مصفوفة الصلاحيات الشاملة</v>
      </c>
      <c r="W205" s="50" t="str">
        <f aca="false">IF(R205="",W204,IF(W204="",R205,W204&amp;"،  "&amp;R205))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5" s="50" t="str">
        <f aca="false">IF(S205="",X204,IF(X204="",S205,X204&amp;"،  "&amp;S205))</f>
        <v>مراجعة حالة المخرجات المتأخرة،  الموافقة على رفع لوائح اللجان للمجلس</v>
      </c>
      <c r="Y205" s="50" t="str">
        <f aca="false">IF(T205="",Y204,IF(Y204="",T205,Y204&amp;"،  "&amp;T205))</f>
        <v>تسريع اعتماد مصفوفة الصلاحيات الشاملة،  جدولة جلسة اعتماد لائحة مجلس الإدارة</v>
      </c>
    </row>
    <row r="206" customFormat="false" ht="15" hidden="false" customHeight="false" outlineLevel="0" collapsed="false">
      <c r="Q206" s="50" t="str">
        <f aca="false">IFERROR(IF(INDEX(tblDeliverables[مؤشر الالتزام الزمني],204)="متأخر",INDEX(tblDeliverables[المخرج],204),""),"")</f>
        <v/>
      </c>
      <c r="R206" s="50" t="str">
        <f aca="false">IFERROR(IF(AND(INDEX(tblDeliverables[الأولوية],204)="عالية",INDEX(tblDeliverables[الحالة الحالية],204)&lt;&gt;"معتمد ونافذ",INDEX(tblDeliverables[المخرج],204)&lt;&gt;""),INDEX(tblDeliverables[المخرج],204),""),"")</f>
        <v/>
      </c>
      <c r="S206" s="50" t="str">
        <f aca="false">IFERROR(IF(INDEX(tblMeetings[الحالة],204)="مفتوح",INDEX(tblMeetings[أهم القرارات],204),""),"")</f>
        <v/>
      </c>
      <c r="T206" s="50" t="str">
        <f aca="false">IFERROR(IF(AND(INDEX(tblMeetings[تاريخ الاستحقاق],204)&lt;&gt;"",INDEX(tblMeetings[تاريخ الاستحقاق],204)&gt;=TODAY(),INDEX(tblMeetings[تاريخ الاستحقاق],204)&lt;=TODAY()+14,INDEX(tblMeetings[الحالة],204)&lt;&gt;"مغلق"),INDEX(tblMeetings[الإجراءات المطلوبة],204),""),"")</f>
        <v/>
      </c>
      <c r="V206" s="50" t="str">
        <f aca="false">IF(Q206="",V205,IF(V205="",Q206,V205&amp;"،  "&amp;Q206))</f>
        <v>مصفوفة الصلاحيات الشاملة</v>
      </c>
      <c r="W206" s="50" t="str">
        <f aca="false">IF(R206="",W205,IF(W205="",R206,W205&amp;"،  "&amp;R206))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6" s="50" t="str">
        <f aca="false">IF(S206="",X205,IF(X205="",S206,X205&amp;"،  "&amp;S206))</f>
        <v>مراجعة حالة المخرجات المتأخرة،  الموافقة على رفع لوائح اللجان للمجلس</v>
      </c>
      <c r="Y206" s="50" t="str">
        <f aca="false">IF(T206="",Y205,IF(Y205="",T206,Y205&amp;"،  "&amp;T206))</f>
        <v>تسريع اعتماد مصفوفة الصلاحيات الشاملة،  جدولة جلسة اعتماد لائحة مجلس الإدارة</v>
      </c>
    </row>
    <row r="207" customFormat="false" ht="15" hidden="false" customHeight="false" outlineLevel="0" collapsed="false">
      <c r="Q207" s="50" t="str">
        <f aca="false">IFERROR(IF(INDEX(tblDeliverables[مؤشر الالتزام الزمني],205)="متأخر",INDEX(tblDeliverables[المخرج],205),""),"")</f>
        <v/>
      </c>
      <c r="R207" s="50" t="str">
        <f aca="false">IFERROR(IF(AND(INDEX(tblDeliverables[الأولوية],205)="عالية",INDEX(tblDeliverables[الحالة الحالية],205)&lt;&gt;"معتمد ونافذ",INDEX(tblDeliverables[المخرج],205)&lt;&gt;""),INDEX(tblDeliverables[المخرج],205),""),"")</f>
        <v/>
      </c>
      <c r="S207" s="50" t="str">
        <f aca="false">IFERROR(IF(INDEX(tblMeetings[الحالة],205)="مفتوح",INDEX(tblMeetings[أهم القرارات],205),""),"")</f>
        <v/>
      </c>
      <c r="T207" s="50" t="str">
        <f aca="false">IFERROR(IF(AND(INDEX(tblMeetings[تاريخ الاستحقاق],205)&lt;&gt;"",INDEX(tblMeetings[تاريخ الاستحقاق],205)&gt;=TODAY(),INDEX(tblMeetings[تاريخ الاستحقاق],205)&lt;=TODAY()+14,INDEX(tblMeetings[الحالة],205)&lt;&gt;"مغلق"),INDEX(tblMeetings[الإجراءات المطلوبة],205),""),"")</f>
        <v/>
      </c>
      <c r="V207" s="50" t="str">
        <f aca="false">IF(Q207="",V206,IF(V206="",Q207,V206&amp;"،  "&amp;Q207))</f>
        <v>مصفوفة الصلاحيات الشاملة</v>
      </c>
      <c r="W207" s="50" t="str">
        <f aca="false">IF(R207="",W206,IF(W206="",R207,W206&amp;"،  "&amp;R207))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7" s="50" t="str">
        <f aca="false">IF(S207="",X206,IF(X206="",S207,X206&amp;"،  "&amp;S207))</f>
        <v>مراجعة حالة المخرجات المتأخرة،  الموافقة على رفع لوائح اللجان للمجلس</v>
      </c>
      <c r="Y207" s="50" t="str">
        <f aca="false">IF(T207="",Y206,IF(Y206="",T207,Y206&amp;"،  "&amp;T207))</f>
        <v>تسريع اعتماد مصفوفة الصلاحيات الشاملة،  جدولة جلسة اعتماد لائحة مجلس الإدارة</v>
      </c>
    </row>
    <row r="208" customFormat="false" ht="15" hidden="false" customHeight="false" outlineLevel="0" collapsed="false">
      <c r="Q208" s="50" t="str">
        <f aca="false">IFERROR(IF(INDEX(tblDeliverables[مؤشر الالتزام الزمني],206)="متأخر",INDEX(tblDeliverables[المخرج],206),""),"")</f>
        <v/>
      </c>
      <c r="R208" s="50" t="str">
        <f aca="false">IFERROR(IF(AND(INDEX(tblDeliverables[الأولوية],206)="عالية",INDEX(tblDeliverables[الحالة الحالية],206)&lt;&gt;"معتمد ونافذ",INDEX(tblDeliverables[المخرج],206)&lt;&gt;""),INDEX(tblDeliverables[المخرج],206),""),"")</f>
        <v/>
      </c>
      <c r="S208" s="50" t="str">
        <f aca="false">IFERROR(IF(INDEX(tblMeetings[الحالة],206)="مفتوح",INDEX(tblMeetings[أهم القرارات],206),""),"")</f>
        <v/>
      </c>
      <c r="T208" s="50" t="str">
        <f aca="false">IFERROR(IF(AND(INDEX(tblMeetings[تاريخ الاستحقاق],206)&lt;&gt;"",INDEX(tblMeetings[تاريخ الاستحقاق],206)&gt;=TODAY(),INDEX(tblMeetings[تاريخ الاستحقاق],206)&lt;=TODAY()+14,INDEX(tblMeetings[الحالة],206)&lt;&gt;"مغلق"),INDEX(tblMeetings[الإجراءات المطلوبة],206),""),"")</f>
        <v/>
      </c>
      <c r="V208" s="50" t="str">
        <f aca="false">IF(Q208="",V207,IF(V207="",Q208,V207&amp;"،  "&amp;Q208))</f>
        <v>مصفوفة الصلاحيات الشاملة</v>
      </c>
      <c r="W208" s="50" t="str">
        <f aca="false">IF(R208="",W207,IF(W207="",R208,W207&amp;"،  "&amp;R208))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8" s="50" t="str">
        <f aca="false">IF(S208="",X207,IF(X207="",S208,X207&amp;"،  "&amp;S208))</f>
        <v>مراجعة حالة المخرجات المتأخرة،  الموافقة على رفع لوائح اللجان للمجلس</v>
      </c>
      <c r="Y208" s="50" t="str">
        <f aca="false">IF(T208="",Y207,IF(Y207="",T208,Y207&amp;"،  "&amp;T208))</f>
        <v>تسريع اعتماد مصفوفة الصلاحيات الشاملة،  جدولة جلسة اعتماد لائحة مجلس الإدارة</v>
      </c>
    </row>
    <row r="209" customFormat="false" ht="15" hidden="false" customHeight="false" outlineLevel="0" collapsed="false">
      <c r="Q209" s="50" t="str">
        <f aca="false">IFERROR(IF(INDEX(tblDeliverables[مؤشر الالتزام الزمني],207)="متأخر",INDEX(tblDeliverables[المخرج],207),""),"")</f>
        <v/>
      </c>
      <c r="R209" s="50" t="str">
        <f aca="false">IFERROR(IF(AND(INDEX(tblDeliverables[الأولوية],207)="عالية",INDEX(tblDeliverables[الحالة الحالية],207)&lt;&gt;"معتمد ونافذ",INDEX(tblDeliverables[المخرج],207)&lt;&gt;""),INDEX(tblDeliverables[المخرج],207),""),"")</f>
        <v/>
      </c>
      <c r="S209" s="50" t="str">
        <f aca="false">IFERROR(IF(INDEX(tblMeetings[الحالة],207)="مفتوح",INDEX(tblMeetings[أهم القرارات],207),""),"")</f>
        <v/>
      </c>
      <c r="T209" s="50" t="str">
        <f aca="false">IFERROR(IF(AND(INDEX(tblMeetings[تاريخ الاستحقاق],207)&lt;&gt;"",INDEX(tblMeetings[تاريخ الاستحقاق],207)&gt;=TODAY(),INDEX(tblMeetings[تاريخ الاستحقاق],207)&lt;=TODAY()+14,INDEX(tblMeetings[الحالة],207)&lt;&gt;"مغلق"),INDEX(tblMeetings[الإجراءات المطلوبة],207),""),"")</f>
        <v/>
      </c>
      <c r="V209" s="50" t="str">
        <f aca="false">IF(Q209="",V208,IF(V208="",Q209,V208&amp;"،  "&amp;Q209))</f>
        <v>مصفوفة الصلاحيات الشاملة</v>
      </c>
      <c r="W209" s="50" t="str">
        <f aca="false">IF(R209="",W208,IF(W208="",R209,W208&amp;"،  "&amp;R209))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09" s="50" t="str">
        <f aca="false">IF(S209="",X208,IF(X208="",S209,X208&amp;"،  "&amp;S209))</f>
        <v>مراجعة حالة المخرجات المتأخرة،  الموافقة على رفع لوائح اللجان للمجلس</v>
      </c>
      <c r="Y209" s="50" t="str">
        <f aca="false">IF(T209="",Y208,IF(Y208="",T209,Y208&amp;"،  "&amp;T209))</f>
        <v>تسريع اعتماد مصفوفة الصلاحيات الشاملة،  جدولة جلسة اعتماد لائحة مجلس الإدارة</v>
      </c>
    </row>
    <row r="210" customFormat="false" ht="15" hidden="false" customHeight="false" outlineLevel="0" collapsed="false">
      <c r="Q210" s="50" t="str">
        <f aca="false">IFERROR(IF(INDEX(tblDeliverables[مؤشر الالتزام الزمني],208)="متأخر",INDEX(tblDeliverables[المخرج],208),""),"")</f>
        <v/>
      </c>
      <c r="R210" s="50" t="str">
        <f aca="false">IFERROR(IF(AND(INDEX(tblDeliverables[الأولوية],208)="عالية",INDEX(tblDeliverables[الحالة الحالية],208)&lt;&gt;"معتمد ونافذ",INDEX(tblDeliverables[المخرج],208)&lt;&gt;""),INDEX(tblDeliverables[المخرج],208),""),"")</f>
        <v/>
      </c>
      <c r="S210" s="50" t="str">
        <f aca="false">IFERROR(IF(INDEX(tblMeetings[الحالة],208)="مفتوح",INDEX(tblMeetings[أهم القرارات],208),""),"")</f>
        <v/>
      </c>
      <c r="T210" s="50" t="str">
        <f aca="false">IFERROR(IF(AND(INDEX(tblMeetings[تاريخ الاستحقاق],208)&lt;&gt;"",INDEX(tblMeetings[تاريخ الاستحقاق],208)&gt;=TODAY(),INDEX(tblMeetings[تاريخ الاستحقاق],208)&lt;=TODAY()+14,INDEX(tblMeetings[الحالة],208)&lt;&gt;"مغلق"),INDEX(tblMeetings[الإجراءات المطلوبة],208),""),"")</f>
        <v/>
      </c>
      <c r="V210" s="50" t="str">
        <f aca="false">IF(Q210="",V209,IF(V209="",Q210,V209&amp;"،  "&amp;Q210))</f>
        <v>مصفوفة الصلاحيات الشاملة</v>
      </c>
      <c r="W210" s="50" t="str">
        <f aca="false">IF(R210="",W209,IF(W209="",R210,W209&amp;"،  "&amp;R210))</f>
        <v>لائحة مجلس الإدارة،  لائحة لجنة المراجعة،  لائحة لجنة الترشيحات والمكافآت،  مصفوفة الصلاحيات الشاملة،  سياسة تعارض المصالح،  سياسة إدارة المخاطر،  سياسة الاستثمار والشركات التابعة،  تطوير الاستراتيجية الشاملة للمجموعة،  مؤشرات الأداء الاستراتيجية</v>
      </c>
      <c r="X210" s="50" t="str">
        <f aca="false">IF(S210="",X209,IF(X209="",S210,X209&amp;"،  "&amp;S210))</f>
        <v>مراجعة حالة المخرجات المتأخرة،  الموافقة على رفع لوائح اللجان للمجلس</v>
      </c>
      <c r="Y210" s="50" t="str">
        <f aca="false">IF(T210="",Y209,IF(Y209="",T210,Y209&amp;"،  "&amp;T210))</f>
        <v>تسريع اعتماد مصفوفة الصلاحيات الشاملة،  جدولة جلسة اعتماد لائحة مجلس الإدارة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2026-06-18T11:59:05Z</dcterms:created>
  <dc:creator>openpyxl</dc:creator>
  <dc:description/>
  <dc:language>en-US</dc:language>
  <cp:lastModifiedBy/>
  <dcterms:modified xsi:type="dcterms:W3CDTF">2026-06-18T11:59:13Z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